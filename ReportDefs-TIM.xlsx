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8D677B44-91B0-45FF-BDDF-8DEFA65B3395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ScenMap" sheetId="56" r:id="rId1"/>
    <sheet name="TS_Defs" sheetId="27" r:id="rId2"/>
    <sheet name="Sankey" sheetId="65" r:id="rId3"/>
    <sheet name="Sankey RSD" sheetId="73" r:id="rId4"/>
    <sheet name="PSet_MAP coarse" sheetId="57" r:id="rId5"/>
    <sheet name="CName_MAP" sheetId="58" r:id="rId6"/>
    <sheet name="varbl map" sheetId="64" r:id="rId7"/>
    <sheet name="process map" sheetId="24" r:id="rId8"/>
    <sheet name="commodity map" sheetId="49" r:id="rId9"/>
    <sheet name="ATS" sheetId="63" r:id="rId10"/>
    <sheet name="UnitConv" sheetId="59" r:id="rId11"/>
    <sheet name="process map TIM" sheetId="69" r:id="rId12"/>
    <sheet name="commodity map TIM" sheetId="70" r:id="rId13"/>
    <sheet name="varbl map TIM" sheetId="71" r:id="rId14"/>
  </sheets>
  <definedNames>
    <definedName name="_xlnm._FilterDatabase" localSheetId="1" hidden="1">TS_Defs!$B$2:$P$2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65" l="1"/>
  <c r="J15" i="65"/>
  <c r="H15" i="65"/>
  <c r="J12" i="65"/>
  <c r="F7" i="58"/>
  <c r="F8" i="58" s="1"/>
  <c r="F9" i="58" s="1"/>
  <c r="F10" i="58" s="1"/>
  <c r="F11" i="58" s="1"/>
  <c r="F3" i="58"/>
  <c r="F4" i="58" s="1"/>
  <c r="F5" i="58" s="1"/>
  <c r="F6" i="58" s="1"/>
  <c r="D13" i="65"/>
  <c r="D12" i="65"/>
  <c r="F20" i="57"/>
  <c r="F21" i="57" s="1"/>
  <c r="F22" i="57" s="1"/>
  <c r="F23" i="57" s="1"/>
  <c r="F13" i="57"/>
  <c r="F7" i="57"/>
  <c r="B10" i="27"/>
  <c r="B21" i="24"/>
  <c r="B22" i="24"/>
  <c r="B23" i="24"/>
  <c r="B24" i="24"/>
  <c r="B25" i="24"/>
  <c r="B26" i="24"/>
  <c r="B27" i="24"/>
  <c r="B19" i="24"/>
  <c r="B28" i="24"/>
  <c r="B29" i="24"/>
  <c r="B30" i="24"/>
  <c r="B20" i="24"/>
  <c r="B4" i="27"/>
  <c r="B5" i="27" s="1"/>
  <c r="B6" i="27" s="1"/>
  <c r="B7" i="27" s="1"/>
  <c r="B8" i="27" s="1"/>
  <c r="B9" i="27" s="1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B11" i="27" l="1"/>
  <c r="B12" i="27" s="1"/>
  <c r="B13" i="27" s="1"/>
  <c r="B14" i="27" s="1"/>
  <c r="B15" i="27" s="1"/>
  <c r="B16" i="27" s="1"/>
  <c r="B17" i="27" s="1"/>
  <c r="B18" i="27" s="1"/>
  <c r="C18" i="57"/>
  <c r="C17" i="57"/>
  <c r="C10" i="57"/>
  <c r="C16" i="57"/>
  <c r="C15" i="57"/>
  <c r="C14" i="57"/>
  <c r="N7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C4" i="57"/>
  <c r="C5" i="57"/>
  <c r="C6" i="57"/>
  <c r="C7" i="57"/>
  <c r="C8" i="57"/>
  <c r="C9" i="57"/>
  <c r="C11" i="57"/>
  <c r="C12" i="57"/>
  <c r="C13" i="57"/>
  <c r="C19" i="57"/>
  <c r="C3" i="57"/>
  <c r="F3" i="57"/>
  <c r="F4" i="57" s="1"/>
  <c r="F5" i="57" s="1"/>
  <c r="F6" i="57" s="1"/>
  <c r="F8" i="57" s="1"/>
  <c r="F9" i="57" s="1"/>
  <c r="F10" i="57" s="1"/>
  <c r="F11" i="57" s="1"/>
  <c r="F14" i="57" s="1"/>
  <c r="F15" i="57" s="1"/>
  <c r="F16" i="57" s="1"/>
  <c r="F17" i="57" s="1"/>
  <c r="F18" i="57" s="1"/>
  <c r="F19" i="57" s="1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E15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31-05-2012
Flag to trigger process level reporting for GIS</t>
        </r>
      </text>
    </comment>
    <comment ref="B2" authorId="1" shapeId="0" xr:uid="{00000000-0006-0000-01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i/>
            <sz val="8"/>
            <color indexed="81"/>
            <rFont val="Tahoma"/>
            <family val="2"/>
          </rPr>
          <t>Types:</t>
        </r>
        <r>
          <rPr>
            <sz val="8"/>
            <color indexed="81"/>
            <rFont val="Tahoma"/>
            <family val="2"/>
          </rPr>
          <t xml:space="preserve">
1: PSet
2: CName
3: Pset,Cname
4: PSet, Cset
</t>
        </r>
      </text>
    </comment>
    <comment ref="D2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E2" authorId="1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<sst xmlns="http://schemas.openxmlformats.org/spreadsheetml/2006/main" count="2160" uniqueCount="765">
  <si>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</si>
  <si>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</si>
  <si>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</si>
  <si>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</si>
  <si>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</si>
  <si>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</si>
  <si>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</si>
  <si>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</si>
  <si>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</si>
  <si>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</si>
  <si>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</si>
  <si>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</si>
  <si>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</si>
  <si>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</si>
  <si>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</si>
  <si>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</si>
  <si>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</si>
  <si>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</si>
  <si>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</si>
  <si>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</si>
  <si>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</si>
  <si>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</si>
  <si>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</si>
  <si>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</si>
  <si>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</si>
  <si>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</si>
  <si>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</si>
  <si>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</si>
  <si>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</si>
  <si>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</si>
  <si>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</si>
  <si>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</si>
  <si>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</si>
  <si>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IgnoreForRegAgg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</si>
  <si>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</si>
  <si>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</si>
  <si>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</si>
  <si>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</si>
  <si>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</si>
  <si>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</si>
  <si>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</si>
  <si>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</si>
  <si>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</si>
  <si>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</si>
  <si>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</si>
  <si>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</si>
  <si>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</si>
  <si>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</si>
  <si>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</si>
  <si>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</si>
  <si>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</si>
  <si>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</si>
  <si>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</si>
  <si>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</si>
  <si>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</si>
  <si>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</si>
  <si>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</si>
  <si>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</si>
  <si>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</si>
  <si>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</si>
  <si>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</si>
  <si>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</si>
  <si>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</si>
  <si>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</si>
  <si>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</si>
  <si>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</si>
  <si>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</si>
  <si>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</si>
  <si>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</si>
  <si>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</si>
  <si>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IEMM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</si>
  <si>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</si>
  <si>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</si>
  <si>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</si>
  <si>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</si>
  <si>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</si>
  <si>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</si>
  <si>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</si>
  <si>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</si>
  <si>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</si>
  <si>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</si>
  <si>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</si>
  <si>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</si>
  <si>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</si>
  <si>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</si>
  <si>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</si>
  <si>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</si>
  <si>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</si>
  <si>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</si>
  <si>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</si>
  <si>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</si>
  <si>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</si>
  <si>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</si>
  <si>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</si>
  <si>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</si>
  <si>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</si>
  <si>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</si>
  <si>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~Varbl_map</t>
  </si>
  <si>
    <t>dimension</t>
  </si>
  <si>
    <t>name</t>
  </si>
  <si>
    <t>description</t>
  </si>
  <si>
    <t>Electricity</t>
  </si>
  <si>
    <t>Sector</t>
  </si>
  <si>
    <t>DMD_in</t>
  </si>
  <si>
    <t>DMD_out</t>
  </si>
  <si>
    <t>T-*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</si>
  <si>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</si>
  <si>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</si>
  <si>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</si>
  <si>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</si>
  <si>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</si>
  <si>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</si>
  <si>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</si>
  <si>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</si>
  <si>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</si>
  <si>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</si>
  <si>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</si>
  <si>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</si>
  <si>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</si>
  <si>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</si>
  <si>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</si>
  <si>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</si>
  <si>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</si>
  <si>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</si>
  <si>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</si>
  <si>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</si>
  <si>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</si>
  <si>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</si>
  <si>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</si>
  <si>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</si>
  <si>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</si>
  <si>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</si>
  <si>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</si>
  <si>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</si>
  <si>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</si>
  <si>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</si>
  <si>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</si>
  <si>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</si>
  <si>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</si>
  <si>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</si>
  <si>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</si>
  <si>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</si>
  <si>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</si>
  <si>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</si>
  <si>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</si>
  <si>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</si>
  <si>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</si>
  <si>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</si>
  <si>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</si>
  <si>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</si>
  <si>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</si>
  <si>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</si>
  <si>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</si>
  <si>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</si>
  <si>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</si>
  <si>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</si>
  <si>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</si>
  <si>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</si>
  <si>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</si>
  <si>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</si>
  <si>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</si>
  <si>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</si>
  <si>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</si>
  <si>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</si>
  <si>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</si>
  <si>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</si>
  <si>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</si>
  <si>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</si>
  <si>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</si>
  <si>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</si>
  <si>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</si>
  <si>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</si>
  <si>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</si>
  <si>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</si>
  <si>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</si>
  <si>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</si>
  <si>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</si>
  <si>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</si>
  <si>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</si>
  <si>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</si>
  <si>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</si>
  <si>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</si>
  <si>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</si>
  <si>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</si>
  <si>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</si>
  <si>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</si>
  <si>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</si>
  <si>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</si>
  <si>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</si>
  <si>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</si>
  <si>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</si>
  <si>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</si>
  <si>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mode</t>
  </si>
  <si>
    <t>pc</t>
  </si>
  <si>
    <t>TRAF*</t>
  </si>
  <si>
    <t>TRAP*</t>
  </si>
  <si>
    <t>btkm</t>
  </si>
  <si>
    <t>bpkm</t>
  </si>
  <si>
    <t>-TRAF*,-TRAP*</t>
  </si>
  <si>
    <t>BioDiesel</t>
  </si>
  <si>
    <t>BioCNG</t>
  </si>
  <si>
    <t>CNG</t>
  </si>
  <si>
    <t>Cycling</t>
  </si>
  <si>
    <t>Diesel</t>
  </si>
  <si>
    <t>BioEthanol</t>
  </si>
  <si>
    <t>Gasoline</t>
  </si>
  <si>
    <t>Kerosene</t>
  </si>
  <si>
    <t>LNG</t>
  </si>
  <si>
    <t>Walking</t>
  </si>
  <si>
    <t>TRABDL</t>
  </si>
  <si>
    <t>TRABNG</t>
  </si>
  <si>
    <t>TRACNG</t>
  </si>
  <si>
    <t>TRACYC</t>
  </si>
  <si>
    <t>TRADST</t>
  </si>
  <si>
    <t>TRAELC</t>
  </si>
  <si>
    <t>TRAETH</t>
  </si>
  <si>
    <t>TRAGSL</t>
  </si>
  <si>
    <t>TRAKER</t>
  </si>
  <si>
    <t>TRALNG</t>
  </si>
  <si>
    <t>TRAWLK</t>
  </si>
  <si>
    <t>fuel</t>
  </si>
  <si>
    <t>~commodity_map</t>
  </si>
  <si>
    <t>ELCC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</si>
  <si>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</si>
  <si>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</si>
  <si>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</si>
  <si>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</si>
  <si>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</si>
  <si>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</si>
  <si>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</si>
  <si>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</si>
  <si>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</si>
  <si>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</si>
  <si>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</si>
  <si>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</si>
  <si>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</si>
  <si>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</si>
  <si>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</si>
  <si>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</si>
  <si>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</si>
  <si>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</si>
  <si>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</si>
  <si>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</si>
  <si>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</si>
  <si>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</si>
  <si>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</si>
  <si>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</si>
  <si>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</si>
  <si>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</si>
  <si>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</si>
  <si>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</si>
  <si>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</si>
  <si>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</si>
  <si>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</si>
  <si>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</si>
  <si>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</si>
  <si>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</si>
  <si>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</si>
  <si>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</si>
  <si>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</si>
  <si>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</si>
  <si>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</si>
  <si>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</si>
  <si>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</si>
  <si>
    <t>ignore</t>
  </si>
  <si>
    <t>T_neg_andor</t>
  </si>
  <si>
    <t>&lt;gen_cname&gt;_src_&lt;gen_pname&gt;</t>
  </si>
  <si>
    <t>p,c</t>
  </si>
  <si>
    <t>&lt;gen_cname&gt;_snk_&lt;gen_pname&gt;</t>
  </si>
  <si>
    <t>~TS_Defs: snk_attr=The busy Sankey</t>
  </si>
  <si>
    <t>Pjneg</t>
  </si>
  <si>
    <t>Primary</t>
  </si>
  <si>
    <t>TRAPS</t>
  </si>
  <si>
    <t>TRAPM</t>
  </si>
  <si>
    <t>TRAPL</t>
  </si>
  <si>
    <t>TRAF</t>
  </si>
  <si>
    <t>TTURS</t>
  </si>
  <si>
    <t>TNAV</t>
  </si>
  <si>
    <t>TOTH</t>
  </si>
  <si>
    <t>TAVIDOM</t>
  </si>
  <si>
    <t>TAVIINT</t>
  </si>
  <si>
    <t>Short-range passenger travels</t>
  </si>
  <si>
    <t>Medium-range passenger travels</t>
  </si>
  <si>
    <t>Long-range passenger travels</t>
  </si>
  <si>
    <t>Goods vehicle for freight</t>
  </si>
  <si>
    <t xml:space="preserve">Turism fuel </t>
  </si>
  <si>
    <t xml:space="preserve">Navigation fuel </t>
  </si>
  <si>
    <t>Unspecified fuel</t>
  </si>
  <si>
    <t>Aviation domestic</t>
  </si>
  <si>
    <t>Aviation international</t>
  </si>
  <si>
    <t>DMD_TRA-F-HTRUCK</t>
  </si>
  <si>
    <t>DMD_TRA-F-LTRUCK</t>
  </si>
  <si>
    <t>DMD_TRA-F-MTRUCK</t>
  </si>
  <si>
    <t>DMD_TRA-F-TRAIN</t>
  </si>
  <si>
    <t>DMD_TRA-P-ACTIVE</t>
  </si>
  <si>
    <t>DMD_TRA-P-BUS</t>
  </si>
  <si>
    <t>DMD_TRA-P-CAR</t>
  </si>
  <si>
    <t>DMD_TRA-P-HPT</t>
  </si>
  <si>
    <t>DMD_TRA-P-LPT</t>
  </si>
  <si>
    <t>DMD_TRA-P-MOT</t>
  </si>
  <si>
    <t>DMD_TRA-P-TAXI</t>
  </si>
  <si>
    <t>heavy goods truck</t>
  </si>
  <si>
    <t>light goods truck</t>
  </si>
  <si>
    <t>medium goods truck</t>
  </si>
  <si>
    <t>train</t>
  </si>
  <si>
    <t>active modes</t>
  </si>
  <si>
    <t>private car</t>
  </si>
  <si>
    <t>heavy passenger train</t>
  </si>
  <si>
    <t>light passenger train</t>
  </si>
  <si>
    <t>motorcycles</t>
  </si>
  <si>
    <t>~TS_Defs: snk_attr=Transport</t>
  </si>
  <si>
    <t>&lt;c&gt;</t>
  </si>
  <si>
    <t>&lt;gen_cname&gt;_src_&lt;pset&gt;</t>
  </si>
  <si>
    <t>&lt;gen_cname&gt;_snk_&lt;pset&gt;</t>
  </si>
  <si>
    <t>NRG,DEM</t>
  </si>
  <si>
    <t>pset_ci</t>
  </si>
  <si>
    <t>pset_co</t>
  </si>
  <si>
    <t>Sector_prc</t>
  </si>
  <si>
    <t>Agriculture</t>
  </si>
  <si>
    <t>PRC_AGR</t>
  </si>
  <si>
    <t>PRC_SRV</t>
  </si>
  <si>
    <t>PRC_IND</t>
  </si>
  <si>
    <t>PRC_PWR</t>
  </si>
  <si>
    <t>PRC_RSD</t>
  </si>
  <si>
    <t>Supply</t>
  </si>
  <si>
    <t>PRC_SUP</t>
  </si>
  <si>
    <t>PRC_TRA</t>
  </si>
  <si>
    <t>BLD</t>
  </si>
  <si>
    <t>R-RSD*</t>
  </si>
  <si>
    <t>All dwellings</t>
  </si>
  <si>
    <t>R*Apt*</t>
  </si>
  <si>
    <t>Apartment</t>
  </si>
  <si>
    <t>R*Att*</t>
  </si>
  <si>
    <t>Attached</t>
  </si>
  <si>
    <t>R*Det*</t>
  </si>
  <si>
    <t>Detached</t>
  </si>
  <si>
    <t>NRGSRV</t>
  </si>
  <si>
    <t>Space heating</t>
  </si>
  <si>
    <t>RSD_BLD-XXX_NRGSRV-WS</t>
  </si>
  <si>
    <t>RSDSH*</t>
  </si>
  <si>
    <t>Water heating</t>
  </si>
  <si>
    <t>RSDWH*</t>
  </si>
  <si>
    <t>Space cooling</t>
  </si>
  <si>
    <t>RSDSC*</t>
  </si>
  <si>
    <t>R-SW*</t>
  </si>
  <si>
    <t>Space and water heating (combi)</t>
  </si>
  <si>
    <t>Lighting</t>
  </si>
  <si>
    <t>RSD_BLD-XXX_NRGSRV-LT</t>
  </si>
  <si>
    <t>Pumps and fans</t>
  </si>
  <si>
    <t>RSD_BLD-XXX_NRGSRV-PF</t>
  </si>
  <si>
    <t>Cooking</t>
  </si>
  <si>
    <t>RSD_BLD-XXX_NRGSRV-CK</t>
  </si>
  <si>
    <t>Refrigeration</t>
  </si>
  <si>
    <t>RSD_BLD-XXX_NRGSRV-RF</t>
  </si>
  <si>
    <t>Cloth washing</t>
  </si>
  <si>
    <t>RSD_BLD-XXX_NRGSRV-CW</t>
  </si>
  <si>
    <t>Cloth drying</t>
  </si>
  <si>
    <t>RSD_BLD-XXX_NRGSRV-CD</t>
  </si>
  <si>
    <t>Dish washing</t>
  </si>
  <si>
    <t>RSD_BLD-XXX_NRGSRV-DW</t>
  </si>
  <si>
    <t>Other electric appliances</t>
  </si>
  <si>
    <t>RSD_BLD-XXX_NRGSRV-OE</t>
  </si>
  <si>
    <t>Other applications</t>
  </si>
  <si>
    <t>RSD_BLD-XXX_NRGSRV-OA</t>
  </si>
  <si>
    <t>Dwelling stock</t>
  </si>
  <si>
    <t>DMD_RSD-BLD-APT,DMD_RSD-BLD-ATT,DMD_RSD-BLD-DET</t>
  </si>
  <si>
    <t>Retrofit</t>
  </si>
  <si>
    <t>RSD_BLD-XXX_RTFT</t>
  </si>
  <si>
    <t>Space and water heating</t>
  </si>
  <si>
    <t>SRV-PU_NRGSRV-WS,SRV-CS_NRGSRV-WS</t>
  </si>
  <si>
    <t>SRV-PU_NRGSRV-LIG,SRV-CS_NRGSRV-LIG</t>
  </si>
  <si>
    <t>SRV-PU_NRGSRV-CK,SRV-CS_NRGSRV-CK</t>
  </si>
  <si>
    <t>SRV-PU_NRGSRV-OEL,SRV-CS_NRGSRV-OEL</t>
  </si>
  <si>
    <t>SRV-PU_NRGSRV-REF,SRV-CS_NRGSRV-REF</t>
  </si>
  <si>
    <t>Data centres</t>
  </si>
  <si>
    <t>DMD_SRV-CS_DC</t>
  </si>
  <si>
    <t>Public lighting</t>
  </si>
  <si>
    <t>DMD_SRV-PU_PLIG</t>
  </si>
  <si>
    <t>VINTAGE</t>
  </si>
  <si>
    <t>R-BLD*</t>
  </si>
  <si>
    <t>Existing</t>
  </si>
  <si>
    <t>*_X0,*_X1</t>
  </si>
  <si>
    <t>*_N1,*_N2,*_N3</t>
  </si>
  <si>
    <t>New</t>
  </si>
  <si>
    <t>*AptN1,*Att-N1,*Det-N1</t>
  </si>
  <si>
    <t>*HPN*</t>
  </si>
  <si>
    <t>R-RTFT*</t>
  </si>
  <si>
    <t>TECH</t>
  </si>
  <si>
    <t>R-SH*ELC*,R-WH*ELC*,R-SC*ELC*</t>
  </si>
  <si>
    <t>Electric resistance</t>
  </si>
  <si>
    <t>R-SH*GAS*,R-SW*GAS*,R-WH*GAS*</t>
  </si>
  <si>
    <t>Gas boiler</t>
  </si>
  <si>
    <t>R-SH*KER*,R-SW*KER*,R-WH*KER*</t>
  </si>
  <si>
    <t>Oil boiler</t>
  </si>
  <si>
    <t>R-SH*LPG*,R-SW*LPG*,R-WH*LPG*</t>
  </si>
  <si>
    <t>LPG boiler</t>
  </si>
  <si>
    <t>R-SH*COA*,R-SH*PEA*,R-SH*SMF*,R-SH*WOO*,R-WH*COA*,R-WH*PEA*,R-WH*SMF*,R-WH*WOO*,R-SW*WOO*</t>
  </si>
  <si>
    <t>Solid fuel</t>
  </si>
  <si>
    <t>R-SH*FPL*,R-SW*FPL*</t>
  </si>
  <si>
    <t>Wood pellets</t>
  </si>
  <si>
    <t>R-SH*HVO*,R-SW*HVO*</t>
  </si>
  <si>
    <t>HVO</t>
  </si>
  <si>
    <t>R-WH*SOL*</t>
  </si>
  <si>
    <t>Solar thermal</t>
  </si>
  <si>
    <t>R-SH*HET*,R-SW*HET*</t>
  </si>
  <si>
    <t>District heat</t>
  </si>
  <si>
    <t>R-LT*</t>
  </si>
  <si>
    <t>R-PF*</t>
  </si>
  <si>
    <t>Appliance</t>
  </si>
  <si>
    <t>Heat pump</t>
  </si>
  <si>
    <t>RSDAHT,RSDAHT2</t>
  </si>
  <si>
    <t>BER</t>
  </si>
  <si>
    <t>R-BLD*_A</t>
  </si>
  <si>
    <t>A</t>
  </si>
  <si>
    <t>R-BLD*_B1</t>
  </si>
  <si>
    <t>B1</t>
  </si>
  <si>
    <t>R-BLD*_B2</t>
  </si>
  <si>
    <t>B2</t>
  </si>
  <si>
    <t>R-BLD*_B3</t>
  </si>
  <si>
    <t>B3</t>
  </si>
  <si>
    <t>R-BLD*_C</t>
  </si>
  <si>
    <t>R-BLD*_D</t>
  </si>
  <si>
    <t>D</t>
  </si>
  <si>
    <t>R-BLD*_E</t>
  </si>
  <si>
    <t>E</t>
  </si>
  <si>
    <t>R-BLD*_F</t>
  </si>
  <si>
    <t>F</t>
  </si>
  <si>
    <t>R-BLD*_G</t>
  </si>
  <si>
    <t>G</t>
  </si>
  <si>
    <t>R-BLD*N1</t>
  </si>
  <si>
    <t>New build</t>
  </si>
  <si>
    <t>*HPN?-AB</t>
  </si>
  <si>
    <t>A-B</t>
  </si>
  <si>
    <t>*HPN?-C</t>
  </si>
  <si>
    <t>*HPN?-D</t>
  </si>
  <si>
    <t>*HPN?-E</t>
  </si>
  <si>
    <t>SUPPLY</t>
  </si>
  <si>
    <t>Import</t>
  </si>
  <si>
    <t>IRE-IMP</t>
  </si>
  <si>
    <t>Export</t>
  </si>
  <si>
    <t>IRE-EXP</t>
  </si>
  <si>
    <t>Mining</t>
  </si>
  <si>
    <t>IRE-MIN</t>
  </si>
  <si>
    <t>Dummy import</t>
  </si>
  <si>
    <t>DUMMY_IMPORT</t>
  </si>
  <si>
    <t>Hydrogen electrolysis</t>
  </si>
  <si>
    <t>SUP-H2-Electrolysis</t>
  </si>
  <si>
    <t>Primary biomass</t>
  </si>
  <si>
    <t>AGR-BIO</t>
  </si>
  <si>
    <t>PWRTECH</t>
  </si>
  <si>
    <t>Biomass</t>
  </si>
  <si>
    <t>Biomass CCS</t>
  </si>
  <si>
    <t>Municipal solid waste</t>
  </si>
  <si>
    <t>Coal</t>
  </si>
  <si>
    <t>Coal CCS</t>
  </si>
  <si>
    <t>Peat</t>
  </si>
  <si>
    <t>Peat CCS</t>
  </si>
  <si>
    <t>Gas</t>
  </si>
  <si>
    <t>Gas CCS</t>
  </si>
  <si>
    <t>Wave and tidal</t>
  </si>
  <si>
    <t>Battery storage</t>
  </si>
  <si>
    <t>Hydrogen storage</t>
  </si>
  <si>
    <t>INDSUB</t>
  </si>
  <si>
    <t>Cement</t>
  </si>
  <si>
    <t>DMD_IND-CEM</t>
  </si>
  <si>
    <t>Chemicals</t>
  </si>
  <si>
    <t>DMD_IND-CAF</t>
  </si>
  <si>
    <t>Food and drink</t>
  </si>
  <si>
    <t>DMD_IND-FAP</t>
  </si>
  <si>
    <t>Lime</t>
  </si>
  <si>
    <t>DMD_IND-LIM</t>
  </si>
  <si>
    <t>Metals</t>
  </si>
  <si>
    <t>DMD_IND-MAP</t>
  </si>
  <si>
    <t>Other industry</t>
  </si>
  <si>
    <t>DMD_IND-OMA</t>
  </si>
  <si>
    <t>Other minerals</t>
  </si>
  <si>
    <t>DMD_IND-ONM</t>
  </si>
  <si>
    <t>Wood products</t>
  </si>
  <si>
    <t>DMD_IND-WAP</t>
  </si>
  <si>
    <t>Electricity use</t>
  </si>
  <si>
    <t>DMD_IND-ELC</t>
  </si>
  <si>
    <t>Oil use</t>
  </si>
  <si>
    <t>DMD_IND-OIL</t>
  </si>
  <si>
    <t>TRAMODE</t>
  </si>
  <si>
    <t>Heavy goods truck</t>
  </si>
  <si>
    <t>Medium goods truck</t>
  </si>
  <si>
    <t>Light goods truck</t>
  </si>
  <si>
    <t>Freight train</t>
  </si>
  <si>
    <t>Active modes</t>
  </si>
  <si>
    <t>Bus</t>
  </si>
  <si>
    <t>Private car</t>
  </si>
  <si>
    <t>Heavy passenger train</t>
  </si>
  <si>
    <t>Light passenger train</t>
  </si>
  <si>
    <t>Motorcycles</t>
  </si>
  <si>
    <t>Taxi</t>
  </si>
  <si>
    <t>Domestic aviation</t>
  </si>
  <si>
    <t>DMD_TRA-R-AVIDOM</t>
  </si>
  <si>
    <t>International aviation</t>
  </si>
  <si>
    <t>DMD_TRA-R-AVIINT</t>
  </si>
  <si>
    <t>Navigation</t>
  </si>
  <si>
    <t>DMD_TRA-R-NAV</t>
  </si>
  <si>
    <t>Tourism</t>
  </si>
  <si>
    <t>DMD_TRA-R-TURS</t>
  </si>
  <si>
    <t>Unspecified</t>
  </si>
  <si>
    <t>DMD_TRA-R-OTH</t>
  </si>
  <si>
    <t>Notes (outside the table: columns G and H are blank, so Veda stops parsing at F)</t>
  </si>
  <si>
    <t>Sector_prc: process-side sector. The commodity map already declares a dimension</t>
  </si>
  <si>
    <t xml:space="preserve">  named Sector, so a different name is used here to avoid a column collision.</t>
  </si>
  <si>
    <t>BLD: use *Apt* / *Att* / *Det*, never *_Apt_* -- R-BLD_AptN1 has no separator</t>
  </si>
  <si>
    <t xml:space="preserve">  before N1 while its siblings are R-BLD_Att-N1 and R-BLD_Det-N1.</t>
  </si>
  <si>
    <t>NRGSRV: R-SW* combi boilers produce RSDSH* and RSDWH* from one fuel input, so</t>
  </si>
  <si>
    <t xml:space="preserve">  they cannot be split between the two services. They get their own value and</t>
  </si>
  <si>
    <t xml:space="preserve">  are listed last so the later-wins rule overrides the pset_co rows above.</t>
  </si>
  <si>
    <t>TECH: the Heat pump row is last on purpose. In TIM the 2020 heat pumps are</t>
  </si>
  <si>
    <t xml:space="preserve">  R-SH_*_ELC_X1 and R-WH_*_ELC_X1 -- they do not match *HPN* and are only</t>
  </si>
  <si>
    <t xml:space="preserve">  identifiable by consuming RSDAHT / RSDAHT2. Classifying on pset_ci and</t>
  </si>
  <si>
    <t xml:space="preserve">  placing the row last overrides the Electric resistance rows above.</t>
  </si>
  <si>
    <t xml:space="preserve">  This mirrors SRV_PU-HP / SRV_CS-HP in SetRules, which already key on SRVAHT.</t>
  </si>
  <si>
    <t>INDSUB: only the active psets are listed. IND_Sets-Proc rows 3-16 are prefixed</t>
  </si>
  <si>
    <t xml:space="preserve">  \I: (comment), so DMD_IND-CON, -EOE, -FAB, -MAE, -NEM, -PX4, -RAP, -TAP,</t>
  </si>
  <si>
    <t xml:space="preserve">  -TEM are not defined -- yet IND_FEC_Sector in Resultviews.json still lists</t>
  </si>
  <si>
    <t xml:space="preserve">  them. Worth confirming against a run.</t>
  </si>
  <si>
    <t>TRAMODE: pset-driven alternative to the name-pattern mode dimension on the</t>
  </si>
  <si>
    <t xml:space="preserve">  existing process map sheet. Keep one of the two, not both.</t>
  </si>
  <si>
    <t>cset_set</t>
  </si>
  <si>
    <t>*ELC*</t>
  </si>
  <si>
    <t>*NGA,*GAS</t>
  </si>
  <si>
    <t>Natural gas</t>
  </si>
  <si>
    <t>*KER</t>
  </si>
  <si>
    <t>*DST</t>
  </si>
  <si>
    <t>*GSL</t>
  </si>
  <si>
    <t>*HFO</t>
  </si>
  <si>
    <t>Heavy fuel oil</t>
  </si>
  <si>
    <t>*LPG</t>
  </si>
  <si>
    <t>LPG</t>
  </si>
  <si>
    <t>*COA</t>
  </si>
  <si>
    <t>*SMF</t>
  </si>
  <si>
    <t>Solid multi-fuel</t>
  </si>
  <si>
    <t>*PEA</t>
  </si>
  <si>
    <t>*WOO</t>
  </si>
  <si>
    <t>Wood</t>
  </si>
  <si>
    <t>*FPL</t>
  </si>
  <si>
    <t>*SOL</t>
  </si>
  <si>
    <t>*HET*</t>
  </si>
  <si>
    <t>*AHT*</t>
  </si>
  <si>
    <t>Ambient heat</t>
  </si>
  <si>
    <t>*BDL</t>
  </si>
  <si>
    <t>Biodiesel</t>
  </si>
  <si>
    <t>*BGS</t>
  </si>
  <si>
    <t>Biogas</t>
  </si>
  <si>
    <t>*ETH</t>
  </si>
  <si>
    <t>Bioethanol</t>
  </si>
  <si>
    <t>*HVO</t>
  </si>
  <si>
    <t>*H2*</t>
  </si>
  <si>
    <t>FUEL_SEAI</t>
  </si>
  <si>
    <t>*COA,*SMF</t>
  </si>
  <si>
    <t>*KER,*DST,*GSL,*HFO,*LPG,*OIL*</t>
  </si>
  <si>
    <t>*NGA,*GAS,*LNG</t>
  </si>
  <si>
    <t>Heat</t>
  </si>
  <si>
    <t>*WOO,*FPL,*BDL,*BGS,*ETH,*HVO,BIO*</t>
  </si>
  <si>
    <t>Bioenergy</t>
  </si>
  <si>
    <t>*SOL,*AHT*</t>
  </si>
  <si>
    <t>Other renewables</t>
  </si>
  <si>
    <t>COMMTYPE</t>
  </si>
  <si>
    <t>Energy carrier</t>
  </si>
  <si>
    <t>Demand</t>
  </si>
  <si>
    <t>Emission</t>
  </si>
  <si>
    <t>ENV</t>
  </si>
  <si>
    <t>RSDSH*,RSDWH*,RSDSC*,RSDLT*,RSDPF*,RSDCK,RSDRF,RSDOE,RSDCD,RSDCW,RSDDW</t>
  </si>
  <si>
    <t>Residential energy service</t>
  </si>
  <si>
    <t>RSD_Apt,RSD_Att,RSD_Det</t>
  </si>
  <si>
    <t>fuel: same dimension name as the existing commodity map sheet, so the two</t>
  </si>
  <si>
    <t xml:space="preserve">  tables merge into one column. The existing rows are explicit TRA* names;</t>
  </si>
  <si>
    <t xml:space="preserve">  these are sector-agnostic patterns and cover the rest of the model.</t>
  </si>
  <si>
    <t>FUEL_SEAI: replaces the five duplicated _SEAI result views. It also fixes two</t>
  </si>
  <si>
    <t xml:space="preserve">  gaps in the SEAI_* csets in Sets-Comm: RSDWOO (1.1 PJ in 2020) and RSDSOL</t>
  </si>
  <si>
    <t xml:space="preserve">  (0.35 PJ) match none of SEAI_BIOENERGY (BIO*) or SEAI_OTHER_RENEWABLES</t>
  </si>
  <si>
    <t xml:space="preserve">  (*REN*). Note also that AGR_NRG-BIO-PRIME_SEAI references SEAI_RENEWABLES,</t>
  </si>
  <si>
    <t xml:space="preserve">  which is not defined in Sets-Comm.</t>
  </si>
  <si>
    <t>COMMTYPE: the residential service commodities are declared NRG in TIM, so the</t>
  </si>
  <si>
    <t xml:space="preserve">  broad NRG row is listed first and the explicit service list overrides it.</t>
  </si>
  <si>
    <t xml:space="preserve">  RSD_Apt/Att/Det are DEM and are counts of dwellings, not PJ -- keep them out</t>
  </si>
  <si>
    <t xml:space="preserve">  of any energy chart or Sankey.</t>
  </si>
  <si>
    <t>~varbl_map</t>
  </si>
  <si>
    <t>attribute</t>
  </si>
  <si>
    <t>DMD_in,Elec_Fuel</t>
  </si>
  <si>
    <t>Final energy</t>
  </si>
  <si>
    <t>Energy services</t>
  </si>
  <si>
    <t>Elec_Prod,Power</t>
  </si>
  <si>
    <t>Electricity production</t>
  </si>
  <si>
    <t>Elec_Cap,Elec_NewCap</t>
  </si>
  <si>
    <t>Capacity</t>
  </si>
  <si>
    <t>Elec_CO2_Emi,Elec_CO2_Cap,CO2_emissions</t>
  </si>
  <si>
    <t>Emissions</t>
  </si>
  <si>
    <t>Costs</t>
  </si>
  <si>
    <t>Prices</t>
  </si>
  <si>
    <t>DummyImp,UC_shadowprice</t>
  </si>
  <si>
    <t>Checks</t>
  </si>
  <si>
    <t>Provisional: these are the 16 variables currently on the TS_Defs sheet. The</t>
  </si>
  <si>
    <t>attribute dimension is what reproduces the report chapter / tab structure of</t>
  </si>
  <si>
    <t>the TIM results website. Revisit once TS_Defs is rebuilt to cover all sectors.</t>
  </si>
  <si>
    <t>CostType and Emi/Cap are deliberately omitted: TIM variable names are not yet</t>
  </si>
  <si>
    <t>suited to them (a *_Cap pattern would catch Elec_Cap, which is capacity).</t>
  </si>
  <si>
    <t>Notes (columns E and F are blank, so Veda stops parsing at D)</t>
  </si>
  <si>
    <t>Notes (columns D and E are blank, so Veda stops parsing at C)</t>
  </si>
  <si>
    <t>~TS_Defs: snk_attr=Residential detail</t>
  </si>
  <si>
    <t>R-*</t>
  </si>
  <si>
    <t>RSDELC,RSDGAS,RSDKER,RSDLPG,RSDCOA,RSDPEA,RSDWOO,RSDSOL,RSDHET,RSDBDL,RSDBGS,RSDAHT,RSDAHT2</t>
  </si>
  <si>
    <t>&lt;gen_cname&gt;_snk_Heat pump</t>
  </si>
  <si>
    <t>fuel and ambient heat into heat pump</t>
  </si>
  <si>
    <t>RSDSH*,RSDWH*,RSDSC*,RSDLT*,RSDPF*,RSDCK,RSDRF,RSDCD,RSDCW,RSDDW,RSDOE</t>
  </si>
  <si>
    <t>&lt;gen_cname&gt;_src_Heat pump</t>
  </si>
  <si>
    <t>energy service delivered by heat pump</t>
  </si>
  <si>
    <t>&lt;gen_cname&gt;_snk_Electric resistance</t>
  </si>
  <si>
    <t>fuel and ambient heat into electric resistance</t>
  </si>
  <si>
    <t>&lt;gen_cname&gt;_src_Electric resistance</t>
  </si>
  <si>
    <t>energy service delivered by electric resistance</t>
  </si>
  <si>
    <t>R-SH*GAS*,R-WH*GAS*</t>
  </si>
  <si>
    <t>&lt;gen_cname&gt;_snk_Gas boiler</t>
  </si>
  <si>
    <t>fuel and ambient heat into gas boiler</t>
  </si>
  <si>
    <t>&lt;gen_cname&gt;_src_Gas boiler</t>
  </si>
  <si>
    <t>energy service delivered by gas boiler</t>
  </si>
  <si>
    <t>R-SH*KER*,R-WH*KER*</t>
  </si>
  <si>
    <t>&lt;gen_cname&gt;_snk_Oil boiler</t>
  </si>
  <si>
    <t>fuel and ambient heat into oil boiler</t>
  </si>
  <si>
    <t>&lt;gen_cname&gt;_src_Oil boiler</t>
  </si>
  <si>
    <t>energy service delivered by oil boiler</t>
  </si>
  <si>
    <t>R-SH*LPG*,R-WH*LPG*</t>
  </si>
  <si>
    <t>&lt;gen_cname&gt;_snk_LPG boiler</t>
  </si>
  <si>
    <t>fuel and ambient heat into lpg boiler</t>
  </si>
  <si>
    <t>&lt;gen_cname&gt;_src_LPG boiler</t>
  </si>
  <si>
    <t>energy service delivered by lpg boiler</t>
  </si>
  <si>
    <t>R-SH*COA*,R-SH*PEA*,R-SH*SMF*,R-SH*WOO*,R-SH*FPL*,R-WH*COA*,R-WH*PEA*,R-WH*SMF*,R-WH*WOO*</t>
  </si>
  <si>
    <t>&lt;gen_cname&gt;_snk_Solid fuel</t>
  </si>
  <si>
    <t>fuel and ambient heat into solid fuel</t>
  </si>
  <si>
    <t>&lt;gen_cname&gt;_src_Solid fuel</t>
  </si>
  <si>
    <t>energy service delivered by solid fuel</t>
  </si>
  <si>
    <t>&lt;gen_cname&gt;_snk_Combi boiler</t>
  </si>
  <si>
    <t>fuel and ambient heat into combi boiler</t>
  </si>
  <si>
    <t>&lt;gen_cname&gt;_src_Combi boiler</t>
  </si>
  <si>
    <t>energy service delivered by combi boiler</t>
  </si>
  <si>
    <t>&lt;gen_cname&gt;_snk_Appliances</t>
  </si>
  <si>
    <t>fuel and ambient heat into appliances</t>
  </si>
  <si>
    <t>&lt;gen_cname&gt;_src_Appliances</t>
  </si>
  <si>
    <t>energy service delivered by appliances</t>
  </si>
  <si>
    <t>R-BLD*Apt*</t>
  </si>
  <si>
    <t>RSDSH*,RSDWH*,RSDSC*,RSDLT*,RSDPF*</t>
  </si>
  <si>
    <t>&lt;gen_cname&gt;_snk_Apartment</t>
  </si>
  <si>
    <t>service consumed by apartment dwellings</t>
  </si>
  <si>
    <t>R-BLD*Att*</t>
  </si>
  <si>
    <t>&lt;gen_cname&gt;_snk_Attached</t>
  </si>
  <si>
    <t>service consumed by attached dwellings</t>
  </si>
  <si>
    <t>R-BLD*Det*</t>
  </si>
  <si>
    <t>&lt;gen_cname&gt;_snk_Detached</t>
  </si>
  <si>
    <t>service consumed by detached dwellings</t>
  </si>
  <si>
    <t>RSDELC</t>
  </si>
  <si>
    <t>RSDGAS</t>
  </si>
  <si>
    <t>RSDKER</t>
  </si>
  <si>
    <t>RSDLPG</t>
  </si>
  <si>
    <t>RSDCOA</t>
  </si>
  <si>
    <t>RSDPEA</t>
  </si>
  <si>
    <t>RSDWOO</t>
  </si>
  <si>
    <t>RSDSOL</t>
  </si>
  <si>
    <t>RSDHET</t>
  </si>
  <si>
    <t>RSDBDL</t>
  </si>
  <si>
    <t>RSDBGS</t>
  </si>
  <si>
    <t>RSDAHT</t>
  </si>
  <si>
    <t>RSDAHT2</t>
  </si>
  <si>
    <t>RSDSH_Apt-AB</t>
  </si>
  <si>
    <t>RSDSH_Apt-C</t>
  </si>
  <si>
    <t>RSDSH_Apt-D</t>
  </si>
  <si>
    <t>RSDSH_Apt-E</t>
  </si>
  <si>
    <t>RSDSH_Apt-F</t>
  </si>
  <si>
    <t>RSDSH_Apt-G</t>
  </si>
  <si>
    <t>RSDSH_Att-AB</t>
  </si>
  <si>
    <t>RSDSH_Att-C</t>
  </si>
  <si>
    <t>RSDSH_Att-D</t>
  </si>
  <si>
    <t>RSDSH_Att-E</t>
  </si>
  <si>
    <t>RSDSH_Att-F</t>
  </si>
  <si>
    <t>RSDSH_Att-G</t>
  </si>
  <si>
    <t>RSDSH_Det-AB</t>
  </si>
  <si>
    <t>RSDSH_Det-C</t>
  </si>
  <si>
    <t>RSDSH_Det-D</t>
  </si>
  <si>
    <t>RSDSH_Det-E</t>
  </si>
  <si>
    <t>RSDSH_Det-F</t>
  </si>
  <si>
    <t>RSDSH_Det-G</t>
  </si>
  <si>
    <t>RSDWH_Apt</t>
  </si>
  <si>
    <t>RSDSC_Apt</t>
  </si>
  <si>
    <t>RSDLT_Apt</t>
  </si>
  <si>
    <t>RSDPF_Apt</t>
  </si>
  <si>
    <t>RSDWH_Att</t>
  </si>
  <si>
    <t>RSDSC_Att</t>
  </si>
  <si>
    <t>RSDLT_Att</t>
  </si>
  <si>
    <t>RSDPF_Att</t>
  </si>
  <si>
    <t>RSDWH_Det</t>
  </si>
  <si>
    <t>RSDSC_Det</t>
  </si>
  <si>
    <t>RSDLT_Det</t>
  </si>
  <si>
    <t>RSDPF_Det</t>
  </si>
  <si>
    <t>RSDCK</t>
  </si>
  <si>
    <t>Cooking (all dwellings)</t>
  </si>
  <si>
    <t>RSDRF</t>
  </si>
  <si>
    <t>Refrigeration (all dwellings)</t>
  </si>
  <si>
    <t>RSDCD</t>
  </si>
  <si>
    <t>Cloth drying (all dwellings)</t>
  </si>
  <si>
    <t>RSDCW</t>
  </si>
  <si>
    <t>Cloth washing (all dwellings)</t>
  </si>
  <si>
    <t>RSDDW</t>
  </si>
  <si>
    <t>Dish washing (all dwellings)</t>
  </si>
  <si>
    <t>RSDOE</t>
  </si>
  <si>
    <t>Other electric (all dwellings)</t>
  </si>
  <si>
    <t>Aggregated residential Sankey: fuel -&gt; technology -&gt; energy service -&gt; dwelling type.</t>
  </si>
  <si>
    <t>How the aggregation works</t>
  </si>
  <si>
    <t xml:space="preserve">  show_me is left empty so the process and commodity dimensions collapse. Node</t>
  </si>
  <si>
    <t xml:space="preserve">  identity comes entirely from the Name string, so arcs whose Name matches are</t>
  </si>
  <si>
    <t xml:space="preserve">  summed. Technology labels are hard-coded in Name (one row pair per group);</t>
  </si>
  <si>
    <t xml:space="preserve">  fuel and service labels come from &lt;gen_cname&gt;, which resolves through the</t>
  </si>
  <si>
    <t xml:space="preserve">  ~CName_Map table to the right.</t>
  </si>
  <si>
    <t>Why the technology groups look the way they do</t>
  </si>
  <si>
    <t xml:space="preserve">  The groups must be mutually exclusive -- unlike a _Map dimension, two Sankey</t>
  </si>
  <si>
    <t xml:space="preserve">  rows matching the same process double-count. Checked against the 174 RSD</t>
  </si>
  <si>
    <t xml:space="preserve">  processes in the model: 11 disjoint groups, all 131 devices assigned, no</t>
  </si>
  <si>
    <t xml:space="preserve">  overlaps. FT-RSD*, R-BLD*, R-RTFT* and IMPDEMZ are out of scope by design.</t>
  </si>
  <si>
    <t>Deliberate omissions</t>
  </si>
  <si>
    <t xml:space="preserve">  Dwelling stock (RSD_Apt/Att/Det) is NOT in the diagram. Those are counts of</t>
  </si>
  <si>
    <t xml:space="preserve">  dwellings, not PJ, so the chain stops at the dwelling-type layer.</t>
  </si>
  <si>
    <t xml:space="preserve">  Appliance services (RSDCK, RSDRF, RSDCD, RSDCW, RSDDW, RSDOE) have no</t>
  </si>
  <si>
    <t xml:space="preserve">  consuming process in the model, so they terminate at the service layer. They</t>
  </si>
  <si>
    <t xml:space="preserve">  are labelled "(all dwellings)" rather than being split by an invented share.</t>
  </si>
  <si>
    <t xml:space="preserve">  Combi boilers (R-SW*) produce space AND water heat from one fuel input, so</t>
  </si>
  <si>
    <t xml:space="preserve">  they are their own technology node -- the input cannot be split by service.</t>
  </si>
  <si>
    <t xml:space="preserve">  Retrofits (R-RTFT*) are omitted; they carry no flow in the bau run.</t>
  </si>
  <si>
    <t>Units follow the busy Sankey on the Sankey sheet: PJ for VAR_FOUT, Pjneg for</t>
  </si>
  <si>
    <t>VAR_FIN (UnitConv maps Pjneg to PJ with factor -1).</t>
  </si>
  <si>
    <t>R-WH*ELC_N1</t>
  </si>
  <si>
    <t>R-SH*ELC*,R-WH*ELC*,-*_ELC_X1,-*HPN*,-*ELC_N1</t>
  </si>
  <si>
    <t>R-SC*</t>
  </si>
  <si>
    <t>&lt;gen_cname&gt;_snk_Air conditioner</t>
  </si>
  <si>
    <t>fuel and ambient heat into air conditioner</t>
  </si>
  <si>
    <t>&lt;gen_cname&gt;_src_Air conditioner</t>
  </si>
  <si>
    <t>energy service delivered by air conditioner</t>
  </si>
  <si>
    <t>&lt;gen_cname&gt;_snk_Solar water heater</t>
  </si>
  <si>
    <t>fuel and ambient heat into solar water heater</t>
  </si>
  <si>
    <t>&lt;gen_cname&gt;_src_Solar water heater</t>
  </si>
  <si>
    <t>energy service delivered by solar water heater</t>
  </si>
  <si>
    <t>&lt;gen_cname&gt;_snk_Lamps and fittings</t>
  </si>
  <si>
    <t>fuel and ambient heat into lamps and fittings</t>
  </si>
  <si>
    <t>&lt;gen_cname&gt;_src_Lamps and fittings</t>
  </si>
  <si>
    <t>energy service delivered by lamps and fittings</t>
  </si>
  <si>
    <t>&lt;gen_cname&gt;_snk_Circulation pumps and fans</t>
  </si>
  <si>
    <t>fuel and ambient heat into circulation pumps and fans</t>
  </si>
  <si>
    <t>&lt;gen_cname&gt;_src_Circulation pumps and fans</t>
  </si>
  <si>
    <t>energy service delivered by circulation pumps and fans</t>
  </si>
  <si>
    <t>Heat pumps in TIM come in three separately-named families</t>
  </si>
  <si>
    <t xml:space="preserve">  1. R-SH_Det_ELC_HPN2-*   named *HPN*, consumes RSDAHT</t>
  </si>
  <si>
    <t xml:space="preserve">  2. R-SH_*_ELC_X1 and R-WH_*_ELC_X1   consume RSDAHT, NOT named *HPN*</t>
  </si>
  <si>
    <t xml:space="preserve">  3. R-WH_*_ELC_N1   neither named *HPN* nor consuming ambient heat, but</t>
  </si>
  <si>
    <t xml:space="preserve">     R-WH_Det_ELC_N1 turns 1.685 PJ of electricity into 3.644 PJ of hot water</t>
  </si>
  <si>
    <t xml:space="preserve">     in 2038 -- a ratio of 2.16, so it can only be a heat-pump water heater.</t>
  </si>
  <si>
    <t xml:space="preserve">  Families 1 and 2 are caught by PSET_CI=RSDAHT,RSDAHT2; family 3 needs its own</t>
  </si>
  <si>
    <t xml:space="preserve">  row. Family 3 is an inference from the input/output ratio and is worth</t>
  </si>
  <si>
    <t xml:space="preserve">  confirming with the TIM team.</t>
  </si>
  <si>
    <t xml:space="preserve">  Air conditioners (R-SC*) are split out as their own node: they run at a COP of</t>
  </si>
  <si>
    <t xml:space="preserve">  3.1 to 3.7 and would otherwise have inflated an "electric resistance" node.</t>
  </si>
  <si>
    <t xml:space="preserve">  After those splits, every remaining electric device has a ratio of exactly</t>
  </si>
  <si>
    <t xml:space="preserve">  1.000, which is the check that the resistance node is really resistance.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</si>
</sst>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7">
    <xf numFmtId="0" fontId="0" fillId="0" borderId="0"/>
    <xf numFmtId="164" fontId="7" fillId="0" borderId="0">
      <protection locked="0"/>
    </xf>
    <xf numFmtId="165" fontId="7" fillId="0" borderId="0">
      <protection locked="0"/>
    </xf>
    <xf numFmtId="0" fontId="16" fillId="2" borderId="0" applyNumberFormat="0" applyBorder="0" applyAlignment="0" applyProtection="0"/>
    <xf numFmtId="166" fontId="8" fillId="0" borderId="0">
      <protection locked="0"/>
    </xf>
    <xf numFmtId="166" fontId="8" fillId="0" borderId="0">
      <protection locked="0"/>
    </xf>
    <xf numFmtId="0" fontId="17" fillId="0" borderId="1" applyNumberFormat="0" applyFill="0" applyAlignment="0" applyProtection="0"/>
    <xf numFmtId="0" fontId="18" fillId="3" borderId="0" applyNumberFormat="0" applyBorder="0" applyAlignment="0" applyProtection="0"/>
    <xf numFmtId="0" fontId="2" fillId="0" borderId="0"/>
    <xf numFmtId="0" fontId="6" fillId="0" borderId="0"/>
    <xf numFmtId="0" fontId="15" fillId="0" borderId="0"/>
    <xf numFmtId="0" fontId="2" fillId="0" borderId="0"/>
    <xf numFmtId="0" fontId="13" fillId="0" borderId="0"/>
    <xf numFmtId="0" fontId="9" fillId="0" borderId="0"/>
    <xf numFmtId="0" fontId="2" fillId="0" borderId="0"/>
    <xf numFmtId="0" fontId="14" fillId="0" borderId="0"/>
    <xf numFmtId="0" fontId="12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5" fillId="0" borderId="0" applyFont="0" applyFill="0" applyBorder="0" applyAlignment="0" applyProtection="0"/>
    <xf numFmtId="0" fontId="22" fillId="0" borderId="2" applyNumberFormat="0" applyFill="0" applyAlignment="0" applyProtection="0"/>
    <xf numFmtId="0" fontId="23" fillId="0" borderId="3" applyNumberFormat="0" applyFill="0" applyAlignment="0" applyProtection="0"/>
  </cellStyleXfs>
  <cellXfs count="9">
    <xf numFmtId="0" fontId="0" fillId="0" borderId="0" xfId="0"/>
    <xf numFmtId="0" fontId="19" fillId="4" borderId="0" xfId="0" applyFont="1" applyFill="1"/>
    <xf numFmtId="0" fontId="0" fillId="0" borderId="0" xfId="0" quotePrefix="1"/>
    <xf numFmtId="0" fontId="18" fillId="3" borderId="0" xfId="7"/>
    <xf numFmtId="0" fontId="17" fillId="0" borderId="1" xfId="6"/>
    <xf numFmtId="0" fontId="16" fillId="2" borderId="0" xfId="3"/>
    <xf numFmtId="0" fontId="22" fillId="0" borderId="2" xfId="45"/>
    <xf numFmtId="0" fontId="23" fillId="0" borderId="3" xfId="46"/>
    <xf numFmtId="0" fontId="20" fillId="2" borderId="0" xfId="3" applyFont="1" applyAlignment="1">
      <alignment horizontal="left"/>
    </xf>
  </cellXfs>
  <cellStyles count="47">
    <cellStyle name="Date" xfId="1" xr:uid="{00000000-0005-0000-0000-000000000000}"/>
    <cellStyle name="Euro" xfId="19" xr:uid="{C43BBEDB-692F-44BD-BF9B-3326BD899053}"/>
    <cellStyle name="Fixed" xfId="2" xr:uid="{00000000-0005-0000-0000-000001000000}"/>
    <cellStyle name="Good" xfId="3" builtinId="26"/>
    <cellStyle name="Heading 2" xfId="45" builtinId="17"/>
    <cellStyle name="Heading 3" xfId="46" builtinId="18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20" xr:uid="{A13CDEC3-C49F-48D3-9060-ED1A1B5DF394}"/>
    <cellStyle name="Neutral" xfId="7" builtinId="28"/>
    <cellStyle name="Normal" xfId="0" builtinId="0"/>
    <cellStyle name="Normal 10" xfId="8" xr:uid="{00000000-0005-0000-0000-000008000000}"/>
    <cellStyle name="Normal 11 2" xfId="21" xr:uid="{263805AA-709D-4C80-9B92-C46312663868}"/>
    <cellStyle name="Normal 11 3" xfId="22" xr:uid="{31CEAF7F-F71B-49CC-B29A-569E8F669DB2}"/>
    <cellStyle name="Normal 11 4" xfId="23" xr:uid="{E728B92C-E895-4C2E-83C9-DCE414E4F9C1}"/>
    <cellStyle name="Normal 12 2" xfId="24" xr:uid="{F503F7C8-5CC7-4B95-B420-2D25F01BAF3D}"/>
    <cellStyle name="Normal 12 3" xfId="25" xr:uid="{33114A06-A10C-41E8-899D-71475F875C58}"/>
    <cellStyle name="Normal 12 4" xfId="26" xr:uid="{4D3F6CB3-50C9-4889-9C33-4FCFDDE3643D}"/>
    <cellStyle name="Normal 13 2" xfId="27" xr:uid="{4F1A0C2B-3CF9-49AA-B050-80FBAA34CA4A}"/>
    <cellStyle name="Normal 13 3" xfId="28" xr:uid="{81AFA5AA-CA74-4CAC-AA80-C218890F0D40}"/>
    <cellStyle name="Normal 13 4" xfId="29" xr:uid="{68A32CB7-6E83-4077-9759-51B1B39FBBAE}"/>
    <cellStyle name="Normal 14 2" xfId="30" xr:uid="{D3384146-09AF-4E87-BFE0-A2CE09CD99C0}"/>
    <cellStyle name="Normal 14 3" xfId="31" xr:uid="{5A2D1B29-6BB2-43D2-830D-7153C5098CC2}"/>
    <cellStyle name="Normal 14 4" xfId="32" xr:uid="{81B9838A-80D8-47A5-A90C-D7097695ADAE}"/>
    <cellStyle name="Normal 15 2" xfId="33" xr:uid="{95CD95D8-95AC-4EDD-B52B-0237AC5EF75C}"/>
    <cellStyle name="Normal 15 3" xfId="34" xr:uid="{AB6BF958-540E-4993-AD29-1DB483E5463E}"/>
    <cellStyle name="Normal 15 4" xfId="35" xr:uid="{067417B5-C652-4E2E-8EDA-BF3A8C9244FF}"/>
    <cellStyle name="Normal 2" xfId="9" xr:uid="{00000000-0005-0000-0000-000009000000}"/>
    <cellStyle name="Normal 2 2" xfId="10" xr:uid="{00000000-0005-0000-0000-00000A000000}"/>
    <cellStyle name="Normal 2 3" xfId="11" xr:uid="{00000000-0005-0000-0000-00000B000000}"/>
    <cellStyle name="Normal 2 4" xfId="12" xr:uid="{00000000-0005-0000-0000-00000C000000}"/>
    <cellStyle name="Normal 2 4 2" xfId="36" xr:uid="{C9DF97EB-131B-41E4-83C6-69C7E13D4CA8}"/>
    <cellStyle name="Normal 2 5" xfId="37" xr:uid="{0F783F2D-E7E7-4A45-8551-DC05505B84C8}"/>
    <cellStyle name="Normal 2 6" xfId="38" xr:uid="{D98B5B6B-F4C5-4499-A823-9418C8577128}"/>
    <cellStyle name="Normal 2 7" xfId="39" xr:uid="{48AE9738-C80E-448A-84A0-75F3AE0B716E}"/>
    <cellStyle name="Normal 2 8" xfId="40" xr:uid="{E0B6639A-6A98-4E21-B31C-0747454A8715}"/>
    <cellStyle name="Normal 2 9" xfId="41" xr:uid="{E2C5EAFB-ECC7-4222-82AE-55A6C32A38B8}"/>
    <cellStyle name="Normal 3" xfId="13" xr:uid="{00000000-0005-0000-0000-00000D000000}"/>
    <cellStyle name="Normal 3 2" xfId="14" xr:uid="{00000000-0005-0000-0000-00000E000000}"/>
    <cellStyle name="Normal 3 3" xfId="15" xr:uid="{00000000-0005-0000-0000-00000F000000}"/>
    <cellStyle name="Normal 4" xfId="16" xr:uid="{00000000-0005-0000-0000-000010000000}"/>
    <cellStyle name="Normal 4 2" xfId="42" xr:uid="{D2D4B6B4-9C63-4C60-8D25-7E777C089808}"/>
    <cellStyle name="Normale_DBT completo" xfId="43" xr:uid="{D0E78AC4-54FE-4350-A723-D9D8F6F2EBED}"/>
    <cellStyle name="Percent 2" xfId="17" xr:uid="{00000000-0005-0000-0000-000012000000}"/>
    <cellStyle name="Percent 2 2" xfId="44" xr:uid="{34BE43E4-D05E-445E-B563-3D092EB48E53}"/>
    <cellStyle name="Standard_Sce_D_Extraction" xfId="18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70</v>
      </c>
      <c r="I1" t="s">
        <v>55</v>
      </c>
      <c r="J1" t="s">
        <v>56</v>
      </c>
      <c r="K1" t="s">
        <v>65</v>
      </c>
      <c r="L1" t="s">
        <v>11</v>
      </c>
      <c r="M1" t="s">
        <v>66</v>
      </c>
    </row>
    <row r="2" spans="1:22">
      <c r="I2" t="s">
        <v>54</v>
      </c>
      <c r="J2" t="s">
        <v>57</v>
      </c>
      <c r="K2" t="s">
        <v>58</v>
      </c>
      <c r="L2" t="s">
        <v>8</v>
      </c>
      <c r="M2" t="s">
        <v>67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69</v>
      </c>
      <c r="O5" t="s">
        <v>68</v>
      </c>
    </row>
    <row r="6" spans="1:22">
      <c r="A6">
        <v>1</v>
      </c>
      <c r="B6" t="str">
        <f>$B$1&amp;"~"&amp;TEXT(Q6,"000")</f>
        <v>IEMM~001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51</v>
      </c>
      <c r="J6" t="s">
        <v>51</v>
      </c>
      <c r="K6" t="s">
        <v>51</v>
      </c>
      <c r="L6" t="s">
        <v>18</v>
      </c>
      <c r="M6" t="s">
        <v>59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IEMM~002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60</v>
      </c>
      <c r="J7" t="s">
        <v>51</v>
      </c>
      <c r="K7" t="s">
        <v>51</v>
      </c>
      <c r="L7" t="s">
        <v>18</v>
      </c>
      <c r="M7" t="s">
        <v>59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IEMM~003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61</v>
      </c>
      <c r="J8" t="s">
        <v>51</v>
      </c>
      <c r="K8" t="s">
        <v>51</v>
      </c>
      <c r="L8" t="s">
        <v>18</v>
      </c>
      <c r="M8" t="s">
        <v>59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IEMM~004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62</v>
      </c>
      <c r="J9" t="s">
        <v>51</v>
      </c>
      <c r="K9" t="s">
        <v>51</v>
      </c>
      <c r="L9" t="s">
        <v>18</v>
      </c>
      <c r="M9" t="s">
        <v>59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IEMM~005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63</v>
      </c>
      <c r="J10" t="s">
        <v>51</v>
      </c>
      <c r="K10" t="s">
        <v>51</v>
      </c>
      <c r="L10" t="s">
        <v>18</v>
      </c>
      <c r="M10" t="s">
        <v>59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IEMM~006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64</v>
      </c>
      <c r="J11" t="s">
        <v>51</v>
      </c>
      <c r="K11" t="s">
        <v>51</v>
      </c>
      <c r="L11" t="s">
        <v>18</v>
      </c>
      <c r="M11" t="s">
        <v>59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IEMM~007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51</v>
      </c>
      <c r="J12" t="s">
        <v>53</v>
      </c>
      <c r="K12" t="s">
        <v>51</v>
      </c>
      <c r="L12" t="s">
        <v>18</v>
      </c>
      <c r="M12" t="s">
        <v>59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IEMM~008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60</v>
      </c>
      <c r="J13" t="s">
        <v>53</v>
      </c>
      <c r="K13" t="s">
        <v>51</v>
      </c>
      <c r="L13" t="s">
        <v>18</v>
      </c>
      <c r="M13" t="s">
        <v>59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IEMM~009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61</v>
      </c>
      <c r="J14" t="s">
        <v>53</v>
      </c>
      <c r="K14" t="s">
        <v>51</v>
      </c>
      <c r="L14" t="s">
        <v>18</v>
      </c>
      <c r="M14" t="s">
        <v>59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IEMM~010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62</v>
      </c>
      <c r="J15" t="s">
        <v>53</v>
      </c>
      <c r="K15" t="s">
        <v>51</v>
      </c>
      <c r="L15" t="s">
        <v>18</v>
      </c>
      <c r="M15" t="s">
        <v>59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IEMM~011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63</v>
      </c>
      <c r="J16" t="s">
        <v>53</v>
      </c>
      <c r="K16" t="s">
        <v>51</v>
      </c>
      <c r="L16" t="s">
        <v>18</v>
      </c>
      <c r="M16" t="s">
        <v>59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IEMM~012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64</v>
      </c>
      <c r="J17" t="s">
        <v>53</v>
      </c>
      <c r="K17" t="s">
        <v>51</v>
      </c>
      <c r="L17" t="s">
        <v>18</v>
      </c>
      <c r="M17" t="s">
        <v>59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IEMM~013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51</v>
      </c>
      <c r="J18" t="s">
        <v>52</v>
      </c>
      <c r="K18" t="s">
        <v>51</v>
      </c>
      <c r="L18" t="s">
        <v>18</v>
      </c>
      <c r="M18" t="s">
        <v>59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IEMM~014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60</v>
      </c>
      <c r="J19" t="s">
        <v>52</v>
      </c>
      <c r="K19" t="s">
        <v>51</v>
      </c>
      <c r="L19" t="s">
        <v>18</v>
      </c>
      <c r="M19" t="s">
        <v>59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IEMM~015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61</v>
      </c>
      <c r="J20" t="s">
        <v>52</v>
      </c>
      <c r="K20" t="s">
        <v>51</v>
      </c>
      <c r="L20" t="s">
        <v>18</v>
      </c>
      <c r="M20" t="s">
        <v>59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IEMM~016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62</v>
      </c>
      <c r="J21" t="s">
        <v>52</v>
      </c>
      <c r="K21" t="s">
        <v>51</v>
      </c>
      <c r="L21" t="s">
        <v>18</v>
      </c>
      <c r="M21" t="s">
        <v>59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IEMM~017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63</v>
      </c>
      <c r="J22" t="s">
        <v>52</v>
      </c>
      <c r="K22" t="s">
        <v>51</v>
      </c>
      <c r="L22" t="s">
        <v>18</v>
      </c>
      <c r="M22" t="s">
        <v>59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IEMM~018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64</v>
      </c>
      <c r="J23" t="s">
        <v>52</v>
      </c>
      <c r="K23" t="s">
        <v>51</v>
      </c>
      <c r="L23" t="s">
        <v>18</v>
      </c>
      <c r="M23" t="s">
        <v>59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IEMM~019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51</v>
      </c>
      <c r="J24" t="s">
        <v>51</v>
      </c>
      <c r="K24" t="s">
        <v>53</v>
      </c>
      <c r="L24" t="s">
        <v>18</v>
      </c>
      <c r="M24" t="s">
        <v>59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IEMM~020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60</v>
      </c>
      <c r="J25" t="s">
        <v>51</v>
      </c>
      <c r="K25" t="s">
        <v>53</v>
      </c>
      <c r="L25" t="s">
        <v>18</v>
      </c>
      <c r="M25" t="s">
        <v>59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IEMM~021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61</v>
      </c>
      <c r="J26" t="s">
        <v>51</v>
      </c>
      <c r="K26" t="s">
        <v>53</v>
      </c>
      <c r="L26" t="s">
        <v>18</v>
      </c>
      <c r="M26" t="s">
        <v>59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IEMM~022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62</v>
      </c>
      <c r="J27" t="s">
        <v>51</v>
      </c>
      <c r="K27" t="s">
        <v>53</v>
      </c>
      <c r="L27" t="s">
        <v>18</v>
      </c>
      <c r="M27" t="s">
        <v>59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IEMM~023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63</v>
      </c>
      <c r="J28" t="s">
        <v>51</v>
      </c>
      <c r="K28" t="s">
        <v>53</v>
      </c>
      <c r="L28" t="s">
        <v>18</v>
      </c>
      <c r="M28" t="s">
        <v>59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IEMM~024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64</v>
      </c>
      <c r="J29" t="s">
        <v>51</v>
      </c>
      <c r="K29" t="s">
        <v>53</v>
      </c>
      <c r="L29" t="s">
        <v>18</v>
      </c>
      <c r="M29" t="s">
        <v>59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IEMM~025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51</v>
      </c>
      <c r="J30" t="s">
        <v>53</v>
      </c>
      <c r="K30" t="s">
        <v>53</v>
      </c>
      <c r="L30" t="s">
        <v>18</v>
      </c>
      <c r="M30" t="s">
        <v>59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IEMM~026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60</v>
      </c>
      <c r="J31" t="s">
        <v>53</v>
      </c>
      <c r="K31" t="s">
        <v>53</v>
      </c>
      <c r="L31" t="s">
        <v>18</v>
      </c>
      <c r="M31" t="s">
        <v>59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IEMM~027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61</v>
      </c>
      <c r="J32" t="s">
        <v>53</v>
      </c>
      <c r="K32" t="s">
        <v>53</v>
      </c>
      <c r="L32" t="s">
        <v>18</v>
      </c>
      <c r="M32" t="s">
        <v>59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IEMM~028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62</v>
      </c>
      <c r="J33" t="s">
        <v>53</v>
      </c>
      <c r="K33" t="s">
        <v>53</v>
      </c>
      <c r="L33" t="s">
        <v>18</v>
      </c>
      <c r="M33" t="s">
        <v>59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IEMM~029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63</v>
      </c>
      <c r="J34" t="s">
        <v>53</v>
      </c>
      <c r="K34" t="s">
        <v>53</v>
      </c>
      <c r="L34" t="s">
        <v>18</v>
      </c>
      <c r="M34" t="s">
        <v>59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IEMM~030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64</v>
      </c>
      <c r="J35" t="s">
        <v>53</v>
      </c>
      <c r="K35" t="s">
        <v>53</v>
      </c>
      <c r="L35" t="s">
        <v>18</v>
      </c>
      <c r="M35" t="s">
        <v>59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IEMM~031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51</v>
      </c>
      <c r="J36" t="s">
        <v>52</v>
      </c>
      <c r="K36" t="s">
        <v>53</v>
      </c>
      <c r="L36" t="s">
        <v>18</v>
      </c>
      <c r="M36" t="s">
        <v>59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IEMM~032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60</v>
      </c>
      <c r="J37" t="s">
        <v>52</v>
      </c>
      <c r="K37" t="s">
        <v>53</v>
      </c>
      <c r="L37" t="s">
        <v>18</v>
      </c>
      <c r="M37" t="s">
        <v>59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IEMM~033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61</v>
      </c>
      <c r="J38" t="s">
        <v>52</v>
      </c>
      <c r="K38" t="s">
        <v>53</v>
      </c>
      <c r="L38" t="s">
        <v>18</v>
      </c>
      <c r="M38" t="s">
        <v>59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IEMM~034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62</v>
      </c>
      <c r="J39" t="s">
        <v>52</v>
      </c>
      <c r="K39" t="s">
        <v>53</v>
      </c>
      <c r="L39" t="s">
        <v>18</v>
      </c>
      <c r="M39" t="s">
        <v>59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IEMM~035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63</v>
      </c>
      <c r="J40" t="s">
        <v>52</v>
      </c>
      <c r="K40" t="s">
        <v>53</v>
      </c>
      <c r="L40" t="s">
        <v>18</v>
      </c>
      <c r="M40" t="s">
        <v>59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IEMM~036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64</v>
      </c>
      <c r="J41" t="s">
        <v>52</v>
      </c>
      <c r="K41" t="s">
        <v>53</v>
      </c>
      <c r="L41" t="s">
        <v>18</v>
      </c>
      <c r="M41" t="s">
        <v>59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IEMM~037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51</v>
      </c>
      <c r="J42" t="s">
        <v>51</v>
      </c>
      <c r="K42" t="s">
        <v>51</v>
      </c>
      <c r="L42" t="s">
        <v>11</v>
      </c>
      <c r="M42" t="s">
        <v>59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IEMM~038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60</v>
      </c>
      <c r="J43" t="s">
        <v>51</v>
      </c>
      <c r="K43" t="s">
        <v>51</v>
      </c>
      <c r="L43" t="s">
        <v>11</v>
      </c>
      <c r="M43" t="s">
        <v>59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IEMM~039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61</v>
      </c>
      <c r="J44" t="s">
        <v>51</v>
      </c>
      <c r="K44" t="s">
        <v>51</v>
      </c>
      <c r="L44" t="s">
        <v>11</v>
      </c>
      <c r="M44" t="s">
        <v>59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IEMM~040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62</v>
      </c>
      <c r="J45" t="s">
        <v>51</v>
      </c>
      <c r="K45" t="s">
        <v>51</v>
      </c>
      <c r="L45" t="s">
        <v>11</v>
      </c>
      <c r="M45" t="s">
        <v>59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IEMM~041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63</v>
      </c>
      <c r="J46" t="s">
        <v>51</v>
      </c>
      <c r="K46" t="s">
        <v>51</v>
      </c>
      <c r="L46" t="s">
        <v>11</v>
      </c>
      <c r="M46" t="s">
        <v>59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IEMM~042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64</v>
      </c>
      <c r="J47" t="s">
        <v>51</v>
      </c>
      <c r="K47" t="s">
        <v>51</v>
      </c>
      <c r="L47" t="s">
        <v>11</v>
      </c>
      <c r="M47" t="s">
        <v>59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IEMM~043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51</v>
      </c>
      <c r="J48" t="s">
        <v>53</v>
      </c>
      <c r="K48" t="s">
        <v>51</v>
      </c>
      <c r="L48" t="s">
        <v>11</v>
      </c>
      <c r="M48" t="s">
        <v>59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IEMM~044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60</v>
      </c>
      <c r="J49" t="s">
        <v>53</v>
      </c>
      <c r="K49" t="s">
        <v>51</v>
      </c>
      <c r="L49" t="s">
        <v>11</v>
      </c>
      <c r="M49" t="s">
        <v>59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IEMM~045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61</v>
      </c>
      <c r="J50" t="s">
        <v>53</v>
      </c>
      <c r="K50" t="s">
        <v>51</v>
      </c>
      <c r="L50" t="s">
        <v>11</v>
      </c>
      <c r="M50" t="s">
        <v>59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IEMM~046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62</v>
      </c>
      <c r="J51" t="s">
        <v>53</v>
      </c>
      <c r="K51" t="s">
        <v>51</v>
      </c>
      <c r="L51" t="s">
        <v>11</v>
      </c>
      <c r="M51" t="s">
        <v>59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IEMM~047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63</v>
      </c>
      <c r="J52" t="s">
        <v>53</v>
      </c>
      <c r="K52" t="s">
        <v>51</v>
      </c>
      <c r="L52" t="s">
        <v>11</v>
      </c>
      <c r="M52" t="s">
        <v>59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IEMM~048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64</v>
      </c>
      <c r="J53" t="s">
        <v>53</v>
      </c>
      <c r="K53" t="s">
        <v>51</v>
      </c>
      <c r="L53" t="s">
        <v>11</v>
      </c>
      <c r="M53" t="s">
        <v>59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IEMM~049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51</v>
      </c>
      <c r="J54" t="s">
        <v>52</v>
      </c>
      <c r="K54" t="s">
        <v>51</v>
      </c>
      <c r="L54" t="s">
        <v>11</v>
      </c>
      <c r="M54" t="s">
        <v>59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IEMM~050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60</v>
      </c>
      <c r="J55" t="s">
        <v>52</v>
      </c>
      <c r="K55" t="s">
        <v>51</v>
      </c>
      <c r="L55" t="s">
        <v>11</v>
      </c>
      <c r="M55" t="s">
        <v>59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IEMM~051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61</v>
      </c>
      <c r="J56" t="s">
        <v>52</v>
      </c>
      <c r="K56" t="s">
        <v>51</v>
      </c>
      <c r="L56" t="s">
        <v>11</v>
      </c>
      <c r="M56" t="s">
        <v>59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IEMM~052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62</v>
      </c>
      <c r="J57" t="s">
        <v>52</v>
      </c>
      <c r="K57" t="s">
        <v>51</v>
      </c>
      <c r="L57" t="s">
        <v>11</v>
      </c>
      <c r="M57" t="s">
        <v>59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IEMM~053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63</v>
      </c>
      <c r="J58" t="s">
        <v>52</v>
      </c>
      <c r="K58" t="s">
        <v>51</v>
      </c>
      <c r="L58" t="s">
        <v>11</v>
      </c>
      <c r="M58" t="s">
        <v>59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IEMM~054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64</v>
      </c>
      <c r="J59" t="s">
        <v>52</v>
      </c>
      <c r="K59" t="s">
        <v>51</v>
      </c>
      <c r="L59" t="s">
        <v>11</v>
      </c>
      <c r="M59" t="s">
        <v>59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IEMM~055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51</v>
      </c>
      <c r="J60" t="s">
        <v>51</v>
      </c>
      <c r="K60" t="s">
        <v>53</v>
      </c>
      <c r="L60" t="s">
        <v>11</v>
      </c>
      <c r="M60" t="s">
        <v>59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IEMM~056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60</v>
      </c>
      <c r="J61" t="s">
        <v>51</v>
      </c>
      <c r="K61" t="s">
        <v>53</v>
      </c>
      <c r="L61" t="s">
        <v>11</v>
      </c>
      <c r="M61" t="s">
        <v>59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IEMM~057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61</v>
      </c>
      <c r="J62" t="s">
        <v>51</v>
      </c>
      <c r="K62" t="s">
        <v>53</v>
      </c>
      <c r="L62" t="s">
        <v>11</v>
      </c>
      <c r="M62" t="s">
        <v>59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IEMM~058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62</v>
      </c>
      <c r="J63" t="s">
        <v>51</v>
      </c>
      <c r="K63" t="s">
        <v>53</v>
      </c>
      <c r="L63" t="s">
        <v>11</v>
      </c>
      <c r="M63" t="s">
        <v>59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IEMM~059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63</v>
      </c>
      <c r="J64" t="s">
        <v>51</v>
      </c>
      <c r="K64" t="s">
        <v>53</v>
      </c>
      <c r="L64" t="s">
        <v>11</v>
      </c>
      <c r="M64" t="s">
        <v>59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IEMM~060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64</v>
      </c>
      <c r="J65" t="s">
        <v>51</v>
      </c>
      <c r="K65" t="s">
        <v>53</v>
      </c>
      <c r="L65" t="s">
        <v>11</v>
      </c>
      <c r="M65" t="s">
        <v>59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IEMM~061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51</v>
      </c>
      <c r="J66" t="s">
        <v>53</v>
      </c>
      <c r="K66" t="s">
        <v>53</v>
      </c>
      <c r="L66" t="s">
        <v>11</v>
      </c>
      <c r="M66" t="s">
        <v>59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IEMM~062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60</v>
      </c>
      <c r="J67" t="s">
        <v>53</v>
      </c>
      <c r="K67" t="s">
        <v>53</v>
      </c>
      <c r="L67" t="s">
        <v>11</v>
      </c>
      <c r="M67" t="s">
        <v>59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IEMM~063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61</v>
      </c>
      <c r="J68" t="s">
        <v>53</v>
      </c>
      <c r="K68" t="s">
        <v>53</v>
      </c>
      <c r="L68" t="s">
        <v>11</v>
      </c>
      <c r="M68" t="s">
        <v>59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IEMM~064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62</v>
      </c>
      <c r="J69" t="s">
        <v>53</v>
      </c>
      <c r="K69" t="s">
        <v>53</v>
      </c>
      <c r="L69" t="s">
        <v>11</v>
      </c>
      <c r="M69" t="s">
        <v>59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IEMM~065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63</v>
      </c>
      <c r="J70" t="s">
        <v>53</v>
      </c>
      <c r="K70" t="s">
        <v>53</v>
      </c>
      <c r="L70" t="s">
        <v>11</v>
      </c>
      <c r="M70" t="s">
        <v>59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IEMM~066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64</v>
      </c>
      <c r="J71" t="s">
        <v>53</v>
      </c>
      <c r="K71" t="s">
        <v>53</v>
      </c>
      <c r="L71" t="s">
        <v>11</v>
      </c>
      <c r="M71" t="s">
        <v>59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IEMM~067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51</v>
      </c>
      <c r="J72" t="s">
        <v>52</v>
      </c>
      <c r="K72" t="s">
        <v>53</v>
      </c>
      <c r="L72" t="s">
        <v>11</v>
      </c>
      <c r="M72" t="s">
        <v>59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IEMM~068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60</v>
      </c>
      <c r="J73" t="s">
        <v>52</v>
      </c>
      <c r="K73" t="s">
        <v>53</v>
      </c>
      <c r="L73" t="s">
        <v>11</v>
      </c>
      <c r="M73" t="s">
        <v>59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IEMM~069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61</v>
      </c>
      <c r="J74" t="s">
        <v>52</v>
      </c>
      <c r="K74" t="s">
        <v>53</v>
      </c>
      <c r="L74" t="s">
        <v>11</v>
      </c>
      <c r="M74" t="s">
        <v>59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IEMM~070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62</v>
      </c>
      <c r="J75" t="s">
        <v>52</v>
      </c>
      <c r="K75" t="s">
        <v>53</v>
      </c>
      <c r="L75" t="s">
        <v>11</v>
      </c>
      <c r="M75" t="s">
        <v>59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IEMM~071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63</v>
      </c>
      <c r="J76" t="s">
        <v>52</v>
      </c>
      <c r="K76" t="s">
        <v>53</v>
      </c>
      <c r="L76" t="s">
        <v>11</v>
      </c>
      <c r="M76" t="s">
        <v>59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IEMM~072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64</v>
      </c>
      <c r="J77" t="s">
        <v>52</v>
      </c>
      <c r="K77" t="s">
        <v>53</v>
      </c>
      <c r="L77" t="s">
        <v>11</v>
      </c>
      <c r="M77" t="s">
        <v>59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IEMM~073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51</v>
      </c>
      <c r="J78" t="s">
        <v>51</v>
      </c>
      <c r="K78" t="s">
        <v>51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IEMM~074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60</v>
      </c>
      <c r="J79" t="s">
        <v>51</v>
      </c>
      <c r="K79" t="s">
        <v>51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IEMM~075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61</v>
      </c>
      <c r="J80" t="s">
        <v>51</v>
      </c>
      <c r="K80" t="s">
        <v>51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IEMM~076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62</v>
      </c>
      <c r="J81" t="s">
        <v>51</v>
      </c>
      <c r="K81" t="s">
        <v>51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IEMM~077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63</v>
      </c>
      <c r="J82" t="s">
        <v>51</v>
      </c>
      <c r="K82" t="s">
        <v>51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IEMM~078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64</v>
      </c>
      <c r="J83" t="s">
        <v>51</v>
      </c>
      <c r="K83" t="s">
        <v>51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IEMM~079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51</v>
      </c>
      <c r="J84" t="s">
        <v>53</v>
      </c>
      <c r="K84" t="s">
        <v>51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IEMM~080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60</v>
      </c>
      <c r="J85" t="s">
        <v>53</v>
      </c>
      <c r="K85" t="s">
        <v>51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IEMM~081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61</v>
      </c>
      <c r="J86" t="s">
        <v>53</v>
      </c>
      <c r="K86" t="s">
        <v>51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IEMM~082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62</v>
      </c>
      <c r="J87" t="s">
        <v>53</v>
      </c>
      <c r="K87" t="s">
        <v>51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IEMM~083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63</v>
      </c>
      <c r="J88" t="s">
        <v>53</v>
      </c>
      <c r="K88" t="s">
        <v>51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IEMM~084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64</v>
      </c>
      <c r="J89" t="s">
        <v>53</v>
      </c>
      <c r="K89" t="s">
        <v>51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IEMM~085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51</v>
      </c>
      <c r="J90" t="s">
        <v>52</v>
      </c>
      <c r="K90" t="s">
        <v>51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IEMM~086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60</v>
      </c>
      <c r="J91" t="s">
        <v>52</v>
      </c>
      <c r="K91" t="s">
        <v>51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IEMM~087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61</v>
      </c>
      <c r="J92" t="s">
        <v>52</v>
      </c>
      <c r="K92" t="s">
        <v>51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IEMM~088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62</v>
      </c>
      <c r="J93" t="s">
        <v>52</v>
      </c>
      <c r="K93" t="s">
        <v>51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IEMM~089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63</v>
      </c>
      <c r="J94" t="s">
        <v>52</v>
      </c>
      <c r="K94" t="s">
        <v>51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IEMM~090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64</v>
      </c>
      <c r="J95" t="s">
        <v>52</v>
      </c>
      <c r="K95" t="s">
        <v>51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IEMM~091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51</v>
      </c>
      <c r="J96" t="s">
        <v>51</v>
      </c>
      <c r="K96" t="s">
        <v>53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IEMM~092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60</v>
      </c>
      <c r="J97" t="s">
        <v>51</v>
      </c>
      <c r="K97" t="s">
        <v>53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IEMM~093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61</v>
      </c>
      <c r="J98" t="s">
        <v>51</v>
      </c>
      <c r="K98" t="s">
        <v>53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IEMM~094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62</v>
      </c>
      <c r="J99" t="s">
        <v>51</v>
      </c>
      <c r="K99" t="s">
        <v>53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IEMM~095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63</v>
      </c>
      <c r="J100" t="s">
        <v>51</v>
      </c>
      <c r="K100" t="s">
        <v>53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IEMM~096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64</v>
      </c>
      <c r="J101" t="s">
        <v>51</v>
      </c>
      <c r="K101" t="s">
        <v>53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IEMM~097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51</v>
      </c>
      <c r="J102" t="s">
        <v>53</v>
      </c>
      <c r="K102" t="s">
        <v>53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IEMM~098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60</v>
      </c>
      <c r="J103" t="s">
        <v>53</v>
      </c>
      <c r="K103" t="s">
        <v>53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IEMM~099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61</v>
      </c>
      <c r="J104" t="s">
        <v>53</v>
      </c>
      <c r="K104" t="s">
        <v>53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IEMM~100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62</v>
      </c>
      <c r="J105" t="s">
        <v>53</v>
      </c>
      <c r="K105" t="s">
        <v>53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IEMM~101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63</v>
      </c>
      <c r="J106" t="s">
        <v>53</v>
      </c>
      <c r="K106" t="s">
        <v>53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IEMM~102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64</v>
      </c>
      <c r="J107" t="s">
        <v>53</v>
      </c>
      <c r="K107" t="s">
        <v>53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IEMM~103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51</v>
      </c>
      <c r="J108" t="s">
        <v>52</v>
      </c>
      <c r="K108" t="s">
        <v>53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IEMM~104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60</v>
      </c>
      <c r="J109" t="s">
        <v>52</v>
      </c>
      <c r="K109" t="s">
        <v>53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IEMM~105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61</v>
      </c>
      <c r="J110" t="s">
        <v>52</v>
      </c>
      <c r="K110" t="s">
        <v>53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IEMM~106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62</v>
      </c>
      <c r="J111" t="s">
        <v>52</v>
      </c>
      <c r="K111" t="s">
        <v>53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IEMM~107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63</v>
      </c>
      <c r="J112" t="s">
        <v>52</v>
      </c>
      <c r="K112" t="s">
        <v>53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IEMM~108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64</v>
      </c>
      <c r="J113" t="s">
        <v>52</v>
      </c>
      <c r="K113" t="s">
        <v>53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IEMM~109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51</v>
      </c>
      <c r="J114" t="s">
        <v>51</v>
      </c>
      <c r="K114" t="s">
        <v>51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IEMM~110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60</v>
      </c>
      <c r="J115" t="s">
        <v>51</v>
      </c>
      <c r="K115" t="s">
        <v>51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IEMM~111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61</v>
      </c>
      <c r="J116" t="s">
        <v>51</v>
      </c>
      <c r="K116" t="s">
        <v>51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IEMM~112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62</v>
      </c>
      <c r="J117" t="s">
        <v>51</v>
      </c>
      <c r="K117" t="s">
        <v>51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IEMM~113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63</v>
      </c>
      <c r="J118" t="s">
        <v>51</v>
      </c>
      <c r="K118" t="s">
        <v>51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IEMM~114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64</v>
      </c>
      <c r="J119" t="s">
        <v>51</v>
      </c>
      <c r="K119" t="s">
        <v>51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IEMM~115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51</v>
      </c>
      <c r="J120" t="s">
        <v>53</v>
      </c>
      <c r="K120" t="s">
        <v>51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IEMM~116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60</v>
      </c>
      <c r="J121" t="s">
        <v>53</v>
      </c>
      <c r="K121" t="s">
        <v>51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IEMM~117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61</v>
      </c>
      <c r="J122" t="s">
        <v>53</v>
      </c>
      <c r="K122" t="s">
        <v>51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IEMM~118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62</v>
      </c>
      <c r="J123" t="s">
        <v>53</v>
      </c>
      <c r="K123" t="s">
        <v>51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IEMM~119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63</v>
      </c>
      <c r="J124" t="s">
        <v>53</v>
      </c>
      <c r="K124" t="s">
        <v>51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IEMM~120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64</v>
      </c>
      <c r="J125" t="s">
        <v>53</v>
      </c>
      <c r="K125" t="s">
        <v>51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IEMM~121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51</v>
      </c>
      <c r="J126" t="s">
        <v>52</v>
      </c>
      <c r="K126" t="s">
        <v>51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IEMM~122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60</v>
      </c>
      <c r="J127" t="s">
        <v>52</v>
      </c>
      <c r="K127" t="s">
        <v>51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IEMM~123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61</v>
      </c>
      <c r="J128" t="s">
        <v>52</v>
      </c>
      <c r="K128" t="s">
        <v>51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IEMM~124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62</v>
      </c>
      <c r="J129" t="s">
        <v>52</v>
      </c>
      <c r="K129" t="s">
        <v>51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IEMM~125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63</v>
      </c>
      <c r="J130" t="s">
        <v>52</v>
      </c>
      <c r="K130" t="s">
        <v>51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IEMM~126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64</v>
      </c>
      <c r="J131" t="s">
        <v>52</v>
      </c>
      <c r="K131" t="s">
        <v>51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IEMM~127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51</v>
      </c>
      <c r="J132" t="s">
        <v>51</v>
      </c>
      <c r="K132" t="s">
        <v>53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IEMM~128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60</v>
      </c>
      <c r="J133" t="s">
        <v>51</v>
      </c>
      <c r="K133" t="s">
        <v>53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IEMM~129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61</v>
      </c>
      <c r="J134" t="s">
        <v>51</v>
      </c>
      <c r="K134" t="s">
        <v>53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IEMM~130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62</v>
      </c>
      <c r="J135" t="s">
        <v>51</v>
      </c>
      <c r="K135" t="s">
        <v>53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IEMM~131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63</v>
      </c>
      <c r="J136" t="s">
        <v>51</v>
      </c>
      <c r="K136" t="s">
        <v>53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IEMM~132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64</v>
      </c>
      <c r="J137" t="s">
        <v>51</v>
      </c>
      <c r="K137" t="s">
        <v>53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IEMM~133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51</v>
      </c>
      <c r="J138" t="s">
        <v>53</v>
      </c>
      <c r="K138" t="s">
        <v>53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IEMM~134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60</v>
      </c>
      <c r="J139" t="s">
        <v>53</v>
      </c>
      <c r="K139" t="s">
        <v>53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IEMM~135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61</v>
      </c>
      <c r="J140" t="s">
        <v>53</v>
      </c>
      <c r="K140" t="s">
        <v>53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IEMM~136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62</v>
      </c>
      <c r="J141" t="s">
        <v>53</v>
      </c>
      <c r="K141" t="s">
        <v>53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IEMM~137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63</v>
      </c>
      <c r="J142" t="s">
        <v>53</v>
      </c>
      <c r="K142" t="s">
        <v>53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IEMM~138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64</v>
      </c>
      <c r="J143" t="s">
        <v>53</v>
      </c>
      <c r="K143" t="s">
        <v>53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IEMM~139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51</v>
      </c>
      <c r="J144" t="s">
        <v>52</v>
      </c>
      <c r="K144" t="s">
        <v>53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IEMM~140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60</v>
      </c>
      <c r="J145" t="s">
        <v>52</v>
      </c>
      <c r="K145" t="s">
        <v>53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IEMM~141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61</v>
      </c>
      <c r="J146" t="s">
        <v>52</v>
      </c>
      <c r="K146" t="s">
        <v>53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IEMM~142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62</v>
      </c>
      <c r="J147" t="s">
        <v>52</v>
      </c>
      <c r="K147" t="s">
        <v>53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IEMM~143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63</v>
      </c>
      <c r="J148" t="s">
        <v>52</v>
      </c>
      <c r="K148" t="s">
        <v>53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IEMM~144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64</v>
      </c>
      <c r="J149" t="s">
        <v>52</v>
      </c>
      <c r="K149" t="s">
        <v>53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W18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2" max="2" width="8.1328125" bestFit="1" customWidth="1"/>
    <col min="3" max="3" width="13.86328125" bestFit="1" customWidth="1"/>
    <col min="4" max="4" width="11.1328125" bestFit="1" customWidth="1"/>
    <col min="5" max="6" width="16.86328125" bestFit="1" customWidth="1"/>
    <col min="7" max="7" width="8.59765625" bestFit="1" customWidth="1"/>
    <col min="8" max="8" width="7.86328125" bestFit="1" customWidth="1"/>
    <col min="9" max="9" width="8.73046875" bestFit="1" customWidth="1"/>
    <col min="10" max="10" width="17.265625" bestFit="1" customWidth="1"/>
    <col min="11" max="11" width="12.73046875" bestFit="1" customWidth="1"/>
    <col min="12" max="12" width="8.59765625" bestFit="1" customWidth="1"/>
    <col min="13" max="13" width="8.73046875" bestFit="1" customWidth="1"/>
    <col min="14" max="14" width="6.86328125" bestFit="1" customWidth="1"/>
    <col min="15" max="15" width="9.265625" bestFit="1" customWidth="1"/>
    <col min="16" max="16" width="27" bestFit="1" customWidth="1"/>
    <col min="17" max="17" width="23.73046875" bestFit="1" customWidth="1"/>
    <col min="18" max="18" width="38.265625" customWidth="1"/>
    <col min="19" max="19" width="9.265625" bestFit="1" customWidth="1"/>
    <col min="20" max="20" width="2" bestFit="1" customWidth="1"/>
    <col min="21" max="21" width="11.59765625" bestFit="1" customWidth="1"/>
    <col min="22" max="22" width="2.1328125" bestFit="1" customWidth="1"/>
    <col min="23" max="23" width="13.86328125" bestFit="1" customWidth="1"/>
    <col min="26" max="26" width="14.3984375" bestFit="1" customWidth="1"/>
    <col min="27" max="27" width="12.73046875" bestFit="1" customWidth="1"/>
    <col min="28" max="28" width="107.73046875" bestFit="1" customWidth="1"/>
  </cols>
  <sheetData>
    <row r="1" spans="1:23">
      <c r="A1" t="s">
        <v>31</v>
      </c>
    </row>
    <row r="2" spans="1:23">
      <c r="A2" t="s">
        <v>33</v>
      </c>
      <c r="B2" s="1" t="s">
        <v>20</v>
      </c>
      <c r="C2" s="1" t="s">
        <v>21</v>
      </c>
      <c r="D2" s="1" t="s">
        <v>32</v>
      </c>
      <c r="E2" s="1" t="s">
        <v>22</v>
      </c>
      <c r="F2" s="1" t="s">
        <v>23</v>
      </c>
      <c r="G2" s="1" t="s">
        <v>27</v>
      </c>
      <c r="H2" s="1" t="s">
        <v>28</v>
      </c>
      <c r="I2" s="1" t="s">
        <v>29</v>
      </c>
      <c r="J2" s="1" t="s">
        <v>24</v>
      </c>
      <c r="K2" s="1" t="s">
        <v>25</v>
      </c>
      <c r="L2" s="1" t="s">
        <v>26</v>
      </c>
      <c r="M2" s="1" t="s">
        <v>0</v>
      </c>
      <c r="N2" s="1" t="s">
        <v>14</v>
      </c>
      <c r="O2" s="1" t="s">
        <v>34</v>
      </c>
      <c r="P2" s="1" t="s">
        <v>2</v>
      </c>
      <c r="Q2" s="1" t="s">
        <v>1</v>
      </c>
      <c r="R2" s="1" t="s">
        <v>19</v>
      </c>
      <c r="S2" s="1" t="s">
        <v>108</v>
      </c>
      <c r="T2" s="1" t="s">
        <v>109</v>
      </c>
    </row>
    <row r="3" spans="1:23">
      <c r="B3">
        <v>1</v>
      </c>
      <c r="C3" t="s">
        <v>37</v>
      </c>
      <c r="E3" t="s">
        <v>106</v>
      </c>
      <c r="F3" t="s">
        <v>105</v>
      </c>
      <c r="J3" t="s">
        <v>38</v>
      </c>
      <c r="M3" t="s">
        <v>76</v>
      </c>
      <c r="P3" t="s">
        <v>103</v>
      </c>
      <c r="S3" t="s">
        <v>193</v>
      </c>
    </row>
    <row r="4" spans="1:23">
      <c r="B4">
        <f>B3+1</f>
        <v>2</v>
      </c>
      <c r="C4" t="s">
        <v>12</v>
      </c>
      <c r="E4" t="s">
        <v>106</v>
      </c>
      <c r="F4" t="s">
        <v>105</v>
      </c>
      <c r="J4" t="s">
        <v>107</v>
      </c>
      <c r="K4" t="s">
        <v>194</v>
      </c>
      <c r="M4" t="s">
        <v>196</v>
      </c>
      <c r="P4" t="s">
        <v>104</v>
      </c>
      <c r="S4" t="s">
        <v>193</v>
      </c>
    </row>
    <row r="5" spans="1:23">
      <c r="B5">
        <f t="shared" ref="B5:B18" si="0">B4+1</f>
        <v>3</v>
      </c>
      <c r="C5" t="s">
        <v>12</v>
      </c>
      <c r="E5" t="s">
        <v>106</v>
      </c>
      <c r="F5" t="s">
        <v>105</v>
      </c>
      <c r="J5" t="s">
        <v>107</v>
      </c>
      <c r="K5" t="s">
        <v>195</v>
      </c>
      <c r="M5" t="s">
        <v>197</v>
      </c>
      <c r="P5" t="s">
        <v>104</v>
      </c>
      <c r="S5" t="s">
        <v>193</v>
      </c>
    </row>
    <row r="6" spans="1:23">
      <c r="B6">
        <f t="shared" si="0"/>
        <v>4</v>
      </c>
      <c r="C6" t="s">
        <v>12</v>
      </c>
      <c r="E6" t="s">
        <v>106</v>
      </c>
      <c r="F6" t="s">
        <v>105</v>
      </c>
      <c r="J6" t="s">
        <v>107</v>
      </c>
      <c r="K6" s="2" t="s">
        <v>198</v>
      </c>
      <c r="M6" t="s">
        <v>76</v>
      </c>
      <c r="P6" t="s">
        <v>104</v>
      </c>
      <c r="S6" t="s">
        <v>193</v>
      </c>
    </row>
    <row r="7" spans="1:23">
      <c r="B7">
        <f t="shared" si="0"/>
        <v>5</v>
      </c>
      <c r="C7" t="s">
        <v>15</v>
      </c>
      <c r="E7" t="s">
        <v>249</v>
      </c>
      <c r="M7" t="s">
        <v>16</v>
      </c>
      <c r="P7" t="s">
        <v>251</v>
      </c>
      <c r="R7" t="s">
        <v>257</v>
      </c>
    </row>
    <row r="8" spans="1:23">
      <c r="B8">
        <f t="shared" si="0"/>
        <v>6</v>
      </c>
      <c r="C8" t="s">
        <v>48</v>
      </c>
      <c r="E8" t="s">
        <v>249</v>
      </c>
      <c r="M8" t="s">
        <v>16</v>
      </c>
      <c r="P8" t="s">
        <v>250</v>
      </c>
      <c r="R8" t="s">
        <v>258</v>
      </c>
      <c r="S8" t="s">
        <v>81</v>
      </c>
      <c r="V8" s="8" t="s">
        <v>80</v>
      </c>
      <c r="W8" s="8"/>
    </row>
    <row r="9" spans="1:23">
      <c r="B9">
        <f t="shared" si="0"/>
        <v>7</v>
      </c>
      <c r="C9" t="s">
        <v>12</v>
      </c>
      <c r="E9" t="s">
        <v>249</v>
      </c>
      <c r="K9" t="s">
        <v>222</v>
      </c>
      <c r="M9" t="s">
        <v>76</v>
      </c>
      <c r="P9" t="s">
        <v>252</v>
      </c>
      <c r="R9" t="s">
        <v>259</v>
      </c>
      <c r="V9" s="5" t="s">
        <v>81</v>
      </c>
      <c r="W9" s="5" t="s">
        <v>92</v>
      </c>
    </row>
    <row r="10" spans="1:23">
      <c r="B10">
        <f t="shared" si="0"/>
        <v>8</v>
      </c>
      <c r="C10" t="s">
        <v>12</v>
      </c>
      <c r="E10" t="s">
        <v>249</v>
      </c>
      <c r="K10" t="s">
        <v>223</v>
      </c>
      <c r="M10" t="s">
        <v>13</v>
      </c>
      <c r="P10" t="s">
        <v>253</v>
      </c>
      <c r="R10" t="s">
        <v>260</v>
      </c>
      <c r="V10" s="5" t="s">
        <v>91</v>
      </c>
      <c r="W10" s="5" t="s">
        <v>93</v>
      </c>
    </row>
    <row r="11" spans="1:23">
      <c r="B11">
        <f t="shared" si="0"/>
        <v>9</v>
      </c>
      <c r="C11" t="s">
        <v>12</v>
      </c>
      <c r="E11" t="s">
        <v>249</v>
      </c>
      <c r="K11" t="s">
        <v>225</v>
      </c>
      <c r="M11" t="s">
        <v>13</v>
      </c>
      <c r="P11" t="s">
        <v>254</v>
      </c>
      <c r="R11" t="s">
        <v>261</v>
      </c>
      <c r="V11" s="5" t="s">
        <v>89</v>
      </c>
      <c r="W11" s="5" t="s">
        <v>94</v>
      </c>
    </row>
    <row r="12" spans="1:23">
      <c r="B12">
        <f t="shared" si="0"/>
        <v>10</v>
      </c>
      <c r="C12" t="s">
        <v>37</v>
      </c>
      <c r="E12" t="s">
        <v>249</v>
      </c>
      <c r="J12" t="s">
        <v>38</v>
      </c>
      <c r="M12" t="s">
        <v>76</v>
      </c>
      <c r="P12" t="s">
        <v>255</v>
      </c>
      <c r="R12" t="s">
        <v>262</v>
      </c>
      <c r="V12" s="5" t="s">
        <v>95</v>
      </c>
      <c r="W12" s="5" t="s">
        <v>96</v>
      </c>
    </row>
    <row r="13" spans="1:23">
      <c r="B13">
        <f t="shared" si="0"/>
        <v>11</v>
      </c>
      <c r="C13" t="s">
        <v>141</v>
      </c>
      <c r="E13" t="s">
        <v>249</v>
      </c>
      <c r="M13" t="s">
        <v>142</v>
      </c>
      <c r="P13" t="s">
        <v>75</v>
      </c>
      <c r="R13" t="s">
        <v>75</v>
      </c>
      <c r="V13" s="5"/>
      <c r="W13" s="5"/>
    </row>
    <row r="14" spans="1:23">
      <c r="B14">
        <f t="shared" si="0"/>
        <v>12</v>
      </c>
      <c r="C14" t="s">
        <v>41</v>
      </c>
      <c r="K14" t="s">
        <v>79</v>
      </c>
      <c r="M14" t="s">
        <v>78</v>
      </c>
      <c r="P14" t="s">
        <v>49</v>
      </c>
      <c r="R14" t="s">
        <v>50</v>
      </c>
    </row>
    <row r="15" spans="1:23" ht="14.65" thickBot="1">
      <c r="B15">
        <f t="shared" si="0"/>
        <v>13</v>
      </c>
      <c r="C15" t="s">
        <v>42</v>
      </c>
      <c r="E15" s="4" t="str">
        <f>$E$7</f>
        <v>ELE,CHP</v>
      </c>
      <c r="M15" t="s">
        <v>77</v>
      </c>
      <c r="P15" t="s">
        <v>256</v>
      </c>
      <c r="R15" t="s">
        <v>263</v>
      </c>
    </row>
    <row r="16" spans="1:23" ht="14.65" thickTop="1">
      <c r="B16">
        <f t="shared" si="0"/>
        <v>14</v>
      </c>
      <c r="C16" t="s">
        <v>12</v>
      </c>
      <c r="F16" t="s">
        <v>82</v>
      </c>
      <c r="M16" t="s">
        <v>76</v>
      </c>
      <c r="P16" t="s">
        <v>83</v>
      </c>
      <c r="R16" t="s">
        <v>84</v>
      </c>
      <c r="S16" t="s">
        <v>85</v>
      </c>
    </row>
    <row r="17" spans="2:19">
      <c r="B17">
        <f t="shared" si="0"/>
        <v>15</v>
      </c>
      <c r="C17" t="s">
        <v>86</v>
      </c>
      <c r="M17" t="s">
        <v>87</v>
      </c>
      <c r="P17" t="s">
        <v>88</v>
      </c>
      <c r="R17" t="s">
        <v>90</v>
      </c>
      <c r="S17" t="s">
        <v>89</v>
      </c>
    </row>
    <row r="18" spans="2:19">
      <c r="B18">
        <f t="shared" si="0"/>
        <v>16</v>
      </c>
      <c r="C18" t="s">
        <v>12</v>
      </c>
      <c r="K18" t="s">
        <v>224</v>
      </c>
      <c r="M18" t="s">
        <v>13</v>
      </c>
      <c r="P18" t="s">
        <v>226</v>
      </c>
    </row>
  </sheetData>
  <mergeCells count="1">
    <mergeCell ref="V8:W8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89D3-B159-4A51-9FA4-5F1A12713BD1}">
  <dimension ref="B3:T16"/>
  <sheetViews>
    <sheetView workbookViewId="0">
      <selection activeCell="I7" sqref="I7"/>
    </sheetView>
  </sheetViews>
  <sheetFormatPr defaultRowHeight="14.25"/>
  <sheetData>
    <row r="3" spans="2:20" ht="17.25" thickBot="1">
      <c r="B3" s="6" t="s">
        <v>269</v>
      </c>
    </row>
    <row r="4" spans="2:20" ht="15" thickTop="1" thickBot="1">
      <c r="B4" s="7" t="s">
        <v>21</v>
      </c>
      <c r="C4" s="7" t="s">
        <v>32</v>
      </c>
      <c r="D4" s="7" t="s">
        <v>22</v>
      </c>
      <c r="E4" s="7" t="s">
        <v>23</v>
      </c>
      <c r="F4" s="7" t="s">
        <v>27</v>
      </c>
      <c r="G4" s="7" t="s">
        <v>28</v>
      </c>
      <c r="H4" s="7" t="s">
        <v>29</v>
      </c>
      <c r="I4" s="7" t="s">
        <v>24</v>
      </c>
      <c r="J4" s="7" t="s">
        <v>25</v>
      </c>
      <c r="K4" s="7" t="s">
        <v>26</v>
      </c>
      <c r="L4" s="7" t="s">
        <v>0</v>
      </c>
      <c r="M4" s="7" t="s">
        <v>14</v>
      </c>
      <c r="N4" s="7" t="s">
        <v>34</v>
      </c>
      <c r="O4" s="7" t="s">
        <v>2</v>
      </c>
      <c r="P4" s="7" t="s">
        <v>1</v>
      </c>
      <c r="Q4" s="7" t="s">
        <v>19</v>
      </c>
      <c r="R4" s="7" t="s">
        <v>108</v>
      </c>
      <c r="S4" s="7" t="s">
        <v>264</v>
      </c>
      <c r="T4" s="7" t="s">
        <v>265</v>
      </c>
    </row>
    <row r="5" spans="2:20">
      <c r="B5" t="s">
        <v>12</v>
      </c>
      <c r="E5" t="s">
        <v>236</v>
      </c>
      <c r="I5" t="s">
        <v>314</v>
      </c>
      <c r="L5" t="s">
        <v>76</v>
      </c>
      <c r="O5" t="s">
        <v>266</v>
      </c>
      <c r="R5" t="s">
        <v>267</v>
      </c>
    </row>
    <row r="6" spans="2:20">
      <c r="B6" t="s">
        <v>37</v>
      </c>
      <c r="E6" t="s">
        <v>236</v>
      </c>
      <c r="I6" t="s">
        <v>314</v>
      </c>
      <c r="L6" t="s">
        <v>270</v>
      </c>
      <c r="O6" t="s">
        <v>268</v>
      </c>
      <c r="R6" t="s">
        <v>267</v>
      </c>
    </row>
    <row r="10" spans="2:20" ht="17.25" thickBot="1">
      <c r="B10" s="6" t="s">
        <v>310</v>
      </c>
    </row>
    <row r="11" spans="2:20" ht="15" thickTop="1" thickBot="1">
      <c r="B11" s="7" t="s">
        <v>21</v>
      </c>
      <c r="C11" s="7" t="s">
        <v>32</v>
      </c>
      <c r="D11" s="7" t="s">
        <v>22</v>
      </c>
      <c r="E11" s="7" t="s">
        <v>23</v>
      </c>
      <c r="F11" s="7" t="s">
        <v>27</v>
      </c>
      <c r="G11" s="7" t="s">
        <v>28</v>
      </c>
      <c r="H11" s="7" t="s">
        <v>29</v>
      </c>
      <c r="I11" s="7" t="s">
        <v>24</v>
      </c>
      <c r="J11" s="7" t="s">
        <v>25</v>
      </c>
      <c r="K11" s="7" t="s">
        <v>26</v>
      </c>
      <c r="L11" s="7" t="s">
        <v>0</v>
      </c>
      <c r="M11" s="7" t="s">
        <v>14</v>
      </c>
      <c r="N11" s="7" t="s">
        <v>34</v>
      </c>
      <c r="O11" s="7" t="s">
        <v>2</v>
      </c>
      <c r="P11" s="7" t="s">
        <v>1</v>
      </c>
      <c r="Q11" s="7" t="s">
        <v>19</v>
      </c>
      <c r="R11" s="7" t="s">
        <v>108</v>
      </c>
      <c r="S11" s="7" t="s">
        <v>264</v>
      </c>
      <c r="T11" s="7" t="s">
        <v>265</v>
      </c>
    </row>
    <row r="12" spans="2:20">
      <c r="B12" t="s">
        <v>12</v>
      </c>
      <c r="D12" t="str">
        <f>'PSet_MAP coarse'!F23</f>
        <v>DMD_TRA-F-HTRUCK,DMD_TRA-F-LTRUCK,DMD_TRA-F-MTRUCK,DMD_TRA-F-TRAIN,DMD_TRA-P-ACTIVE,DMD_TRA-P-BUS,DMD_TRA-P-CAR,DMD_TRA-P-HPT,DMD_TRA-P-LPT,DMD_TRA-P-MOT,DMD_TRA-P-TAXI</v>
      </c>
      <c r="J12" t="str">
        <f>CName_MAP!F6</f>
        <v>TRAPS,TRAPM,TRAPL,TRAF</v>
      </c>
      <c r="L12" t="s">
        <v>311</v>
      </c>
      <c r="O12" t="s">
        <v>312</v>
      </c>
    </row>
    <row r="13" spans="2:20">
      <c r="B13" t="s">
        <v>37</v>
      </c>
      <c r="D13" t="str">
        <f>D12</f>
        <v>DMD_TRA-F-HTRUCK,DMD_TRA-F-LTRUCK,DMD_TRA-F-MTRUCK,DMD_TRA-F-TRAIN,DMD_TRA-P-ACTIVE,DMD_TRA-P-BUS,DMD_TRA-P-CAR,DMD_TRA-P-HPT,DMD_TRA-P-LPT,DMD_TRA-P-MOT,DMD_TRA-P-TAXI</v>
      </c>
      <c r="I13" t="s">
        <v>38</v>
      </c>
      <c r="L13" t="s">
        <v>76</v>
      </c>
      <c r="O13" t="s">
        <v>313</v>
      </c>
    </row>
    <row r="14" spans="2:20">
      <c r="B14" t="s">
        <v>236</v>
      </c>
    </row>
    <row r="15" spans="2:20">
      <c r="B15" t="s">
        <v>12</v>
      </c>
      <c r="H15" t="str">
        <f>CName_MAP!$F$11</f>
        <v>TTURS,TNAV,TOTH,TAVIDOM,TAVIINT</v>
      </c>
      <c r="J15" t="str">
        <f>H15</f>
        <v>TTURS,TNAV,TOTH,TAVIDOM,TAVIINT</v>
      </c>
      <c r="L15" t="s">
        <v>311</v>
      </c>
      <c r="O15" t="s">
        <v>266</v>
      </c>
    </row>
    <row r="16" spans="2:20">
      <c r="B16" t="s">
        <v>37</v>
      </c>
      <c r="H16" t="str">
        <f>H15</f>
        <v>TTURS,TNAV,TOTH,TAVIDOM,TAVIINT</v>
      </c>
      <c r="I16" t="s">
        <v>38</v>
      </c>
      <c r="L16" t="s">
        <v>311</v>
      </c>
      <c r="O16" t="s">
        <v>268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B8B32-E74A-4535-AAC7-EA2344AB3384}">
  <dimension ref="A1:Y51"/>
  <sheetViews>
    <sheetView tabSelected="1" workbookViewId="0"/>
  </sheetViews>
  <sheetFormatPr defaultRowHeight="14.25"/>
  <cols>
    <col min="1" max="1" width="30.19921875" bestFit="1" customWidth="1"/>
    <col min="2" max="2" width="9.6640625" bestFit="1" customWidth="1"/>
    <col min="3" max="3" width="7.86328125" bestFit="1" customWidth="1"/>
    <col min="4" max="4" width="44.59765625" customWidth="1"/>
    <col min="5" max="5" width="7.59765625" bestFit="1" customWidth="1"/>
    <col min="6" max="6" width="15.066406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7.86328125" bestFit="1" customWidth="1"/>
    <col min="15" max="15" width="5.59765625" customWidth="1"/>
    <col min="16" max="16" width="44.1328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2.46484375" bestFit="1" customWidth="1"/>
    <col min="22" max="23" width="23.3984375" bestFit="1" customWidth="1"/>
    <col min="25" max="25" width="44.59765625" customWidth="1"/>
  </cols>
  <sheetData>
    <row r="1" spans="1:25">
      <c r="A1" t="s">
        <v>605</v>
      </c>
      <c r="U1" t="s">
        <v>39</v>
      </c>
    </row>
    <row r="2" spans="1:25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34</v>
      </c>
      <c r="N2" t="s">
        <v>2</v>
      </c>
      <c r="O2" t="s">
        <v>1</v>
      </c>
      <c r="P2" t="s">
        <v>19</v>
      </c>
      <c r="Q2" t="s">
        <v>108</v>
      </c>
      <c r="R2" t="s">
        <v>264</v>
      </c>
      <c r="S2" t="s">
        <v>265</v>
      </c>
      <c r="U2" t="s">
        <v>40</v>
      </c>
      <c r="V2" t="s">
        <v>1</v>
      </c>
      <c r="W2" t="s">
        <v>19</v>
      </c>
      <c r="Y2" t="s">
        <v>710</v>
      </c>
    </row>
    <row r="3" spans="1:25">
      <c r="A3" t="s">
        <v>37</v>
      </c>
      <c r="D3" t="s">
        <v>606</v>
      </c>
      <c r="F3" t="s">
        <v>410</v>
      </c>
      <c r="I3" t="s">
        <v>607</v>
      </c>
      <c r="K3" t="s">
        <v>270</v>
      </c>
      <c r="N3" t="s">
        <v>608</v>
      </c>
      <c r="P3" t="s">
        <v>609</v>
      </c>
      <c r="U3" t="s">
        <v>655</v>
      </c>
      <c r="V3" t="s">
        <v>101</v>
      </c>
      <c r="W3" t="s">
        <v>101</v>
      </c>
    </row>
    <row r="4" spans="1:25">
      <c r="A4" t="s">
        <v>12</v>
      </c>
      <c r="D4" t="s">
        <v>606</v>
      </c>
      <c r="F4" t="s">
        <v>410</v>
      </c>
      <c r="I4" t="s">
        <v>610</v>
      </c>
      <c r="K4" t="s">
        <v>76</v>
      </c>
      <c r="N4" t="s">
        <v>611</v>
      </c>
      <c r="P4" t="s">
        <v>612</v>
      </c>
      <c r="U4" t="s">
        <v>656</v>
      </c>
      <c r="V4" t="s">
        <v>527</v>
      </c>
      <c r="W4" t="s">
        <v>527</v>
      </c>
      <c r="Y4" t="s">
        <v>711</v>
      </c>
    </row>
    <row r="5" spans="1:25">
      <c r="A5" t="s">
        <v>37</v>
      </c>
      <c r="D5" t="s">
        <v>733</v>
      </c>
      <c r="I5" t="s">
        <v>607</v>
      </c>
      <c r="K5" t="s">
        <v>270</v>
      </c>
      <c r="N5" t="s">
        <v>608</v>
      </c>
      <c r="P5" t="s">
        <v>609</v>
      </c>
      <c r="U5" t="s">
        <v>657</v>
      </c>
      <c r="V5" t="s">
        <v>206</v>
      </c>
      <c r="W5" t="s">
        <v>206</v>
      </c>
      <c r="Y5" t="s">
        <v>712</v>
      </c>
    </row>
    <row r="6" spans="1:25">
      <c r="A6" t="s">
        <v>12</v>
      </c>
      <c r="D6" t="s">
        <v>733</v>
      </c>
      <c r="I6" t="s">
        <v>610</v>
      </c>
      <c r="K6" t="s">
        <v>76</v>
      </c>
      <c r="N6" t="s">
        <v>611</v>
      </c>
      <c r="P6" t="s">
        <v>612</v>
      </c>
      <c r="U6" t="s">
        <v>658</v>
      </c>
      <c r="V6" t="s">
        <v>534</v>
      </c>
      <c r="W6" t="s">
        <v>534</v>
      </c>
      <c r="Y6" t="s">
        <v>713</v>
      </c>
    </row>
    <row r="7" spans="1:25">
      <c r="A7" t="s">
        <v>37</v>
      </c>
      <c r="D7" t="s">
        <v>734</v>
      </c>
      <c r="I7" t="s">
        <v>607</v>
      </c>
      <c r="K7" t="s">
        <v>270</v>
      </c>
      <c r="N7" t="s">
        <v>613</v>
      </c>
      <c r="P7" t="s">
        <v>614</v>
      </c>
      <c r="U7" t="s">
        <v>659</v>
      </c>
      <c r="V7" t="s">
        <v>453</v>
      </c>
      <c r="W7" t="s">
        <v>453</v>
      </c>
      <c r="Y7" t="s">
        <v>714</v>
      </c>
    </row>
    <row r="8" spans="1:25">
      <c r="A8" t="s">
        <v>12</v>
      </c>
      <c r="D8" t="s">
        <v>734</v>
      </c>
      <c r="I8" t="s">
        <v>610</v>
      </c>
      <c r="K8" t="s">
        <v>76</v>
      </c>
      <c r="N8" t="s">
        <v>615</v>
      </c>
      <c r="P8" t="s">
        <v>616</v>
      </c>
      <c r="U8" t="s">
        <v>660</v>
      </c>
      <c r="V8" t="s">
        <v>455</v>
      </c>
      <c r="W8" t="s">
        <v>455</v>
      </c>
      <c r="Y8" t="s">
        <v>715</v>
      </c>
    </row>
    <row r="9" spans="1:25">
      <c r="A9" t="s">
        <v>37</v>
      </c>
      <c r="D9" t="s">
        <v>735</v>
      </c>
      <c r="I9" t="s">
        <v>607</v>
      </c>
      <c r="K9" t="s">
        <v>270</v>
      </c>
      <c r="N9" t="s">
        <v>736</v>
      </c>
      <c r="P9" t="s">
        <v>737</v>
      </c>
      <c r="U9" t="s">
        <v>661</v>
      </c>
      <c r="V9" t="s">
        <v>540</v>
      </c>
      <c r="W9" t="s">
        <v>540</v>
      </c>
      <c r="Y9" t="s">
        <v>716</v>
      </c>
    </row>
    <row r="10" spans="1:25">
      <c r="A10" t="s">
        <v>12</v>
      </c>
      <c r="D10" t="s">
        <v>735</v>
      </c>
      <c r="I10" t="s">
        <v>610</v>
      </c>
      <c r="K10" t="s">
        <v>76</v>
      </c>
      <c r="N10" t="s">
        <v>738</v>
      </c>
      <c r="P10" t="s">
        <v>739</v>
      </c>
      <c r="U10" t="s">
        <v>662</v>
      </c>
      <c r="V10" t="s">
        <v>403</v>
      </c>
      <c r="W10" t="s">
        <v>403</v>
      </c>
    </row>
    <row r="11" spans="1:25">
      <c r="A11" t="s">
        <v>37</v>
      </c>
      <c r="D11" t="s">
        <v>617</v>
      </c>
      <c r="I11" t="s">
        <v>607</v>
      </c>
      <c r="K11" t="s">
        <v>270</v>
      </c>
      <c r="N11" t="s">
        <v>618</v>
      </c>
      <c r="P11" t="s">
        <v>619</v>
      </c>
      <c r="U11" t="s">
        <v>663</v>
      </c>
      <c r="V11" t="s">
        <v>405</v>
      </c>
      <c r="W11" t="s">
        <v>405</v>
      </c>
      <c r="Y11" t="s">
        <v>717</v>
      </c>
    </row>
    <row r="12" spans="1:25">
      <c r="A12" t="s">
        <v>12</v>
      </c>
      <c r="D12" t="s">
        <v>617</v>
      </c>
      <c r="I12" t="s">
        <v>610</v>
      </c>
      <c r="K12" t="s">
        <v>76</v>
      </c>
      <c r="N12" t="s">
        <v>620</v>
      </c>
      <c r="P12" t="s">
        <v>621</v>
      </c>
      <c r="U12" t="s">
        <v>664</v>
      </c>
      <c r="V12" t="s">
        <v>547</v>
      </c>
      <c r="W12" t="s">
        <v>547</v>
      </c>
      <c r="Y12" t="s">
        <v>718</v>
      </c>
    </row>
    <row r="13" spans="1:25">
      <c r="A13" t="s">
        <v>37</v>
      </c>
      <c r="D13" t="s">
        <v>622</v>
      </c>
      <c r="I13" t="s">
        <v>607</v>
      </c>
      <c r="K13" t="s">
        <v>270</v>
      </c>
      <c r="N13" t="s">
        <v>623</v>
      </c>
      <c r="P13" t="s">
        <v>624</v>
      </c>
      <c r="U13" t="s">
        <v>665</v>
      </c>
      <c r="V13" t="s">
        <v>549</v>
      </c>
      <c r="W13" t="s">
        <v>549</v>
      </c>
      <c r="Y13" t="s">
        <v>719</v>
      </c>
    </row>
    <row r="14" spans="1:25">
      <c r="A14" t="s">
        <v>12</v>
      </c>
      <c r="D14" t="s">
        <v>622</v>
      </c>
      <c r="I14" t="s">
        <v>610</v>
      </c>
      <c r="K14" t="s">
        <v>76</v>
      </c>
      <c r="N14" t="s">
        <v>625</v>
      </c>
      <c r="P14" t="s">
        <v>626</v>
      </c>
      <c r="U14" t="s">
        <v>666</v>
      </c>
      <c r="V14" t="s">
        <v>545</v>
      </c>
      <c r="W14" t="s">
        <v>545</v>
      </c>
      <c r="Y14" t="s">
        <v>720</v>
      </c>
    </row>
    <row r="15" spans="1:25">
      <c r="A15" t="s">
        <v>37</v>
      </c>
      <c r="D15" t="s">
        <v>627</v>
      </c>
      <c r="I15" t="s">
        <v>607</v>
      </c>
      <c r="K15" t="s">
        <v>270</v>
      </c>
      <c r="N15" t="s">
        <v>628</v>
      </c>
      <c r="P15" t="s">
        <v>629</v>
      </c>
      <c r="U15" t="s">
        <v>667</v>
      </c>
      <c r="V15" t="s">
        <v>545</v>
      </c>
      <c r="W15" t="s">
        <v>545</v>
      </c>
      <c r="Y15" t="s">
        <v>721</v>
      </c>
    </row>
    <row r="16" spans="1:25">
      <c r="A16" t="s">
        <v>12</v>
      </c>
      <c r="D16" t="s">
        <v>627</v>
      </c>
      <c r="I16" t="s">
        <v>610</v>
      </c>
      <c r="K16" t="s">
        <v>76</v>
      </c>
      <c r="N16" t="s">
        <v>630</v>
      </c>
      <c r="P16" t="s">
        <v>631</v>
      </c>
      <c r="U16" t="s">
        <v>668</v>
      </c>
      <c r="V16" t="s">
        <v>337</v>
      </c>
      <c r="W16" t="s">
        <v>337</v>
      </c>
    </row>
    <row r="17" spans="1:25">
      <c r="A17" t="s">
        <v>37</v>
      </c>
      <c r="D17" t="s">
        <v>632</v>
      </c>
      <c r="I17" t="s">
        <v>607</v>
      </c>
      <c r="K17" t="s">
        <v>270</v>
      </c>
      <c r="N17" t="s">
        <v>633</v>
      </c>
      <c r="P17" t="s">
        <v>634</v>
      </c>
      <c r="U17" t="s">
        <v>669</v>
      </c>
      <c r="V17" t="s">
        <v>337</v>
      </c>
      <c r="W17" t="s">
        <v>337</v>
      </c>
      <c r="Y17" t="s">
        <v>752</v>
      </c>
    </row>
    <row r="18" spans="1:25">
      <c r="A18" t="s">
        <v>12</v>
      </c>
      <c r="D18" t="s">
        <v>632</v>
      </c>
      <c r="I18" t="s">
        <v>610</v>
      </c>
      <c r="K18" t="s">
        <v>76</v>
      </c>
      <c r="N18" t="s">
        <v>635</v>
      </c>
      <c r="P18" t="s">
        <v>636</v>
      </c>
      <c r="U18" t="s">
        <v>670</v>
      </c>
      <c r="V18" t="s">
        <v>337</v>
      </c>
      <c r="W18" t="s">
        <v>337</v>
      </c>
      <c r="Y18" t="s">
        <v>753</v>
      </c>
    </row>
    <row r="19" spans="1:25">
      <c r="A19" t="s">
        <v>37</v>
      </c>
      <c r="D19" t="s">
        <v>402</v>
      </c>
      <c r="I19" t="s">
        <v>607</v>
      </c>
      <c r="K19" t="s">
        <v>270</v>
      </c>
      <c r="N19" t="s">
        <v>740</v>
      </c>
      <c r="P19" t="s">
        <v>741</v>
      </c>
      <c r="U19" t="s">
        <v>671</v>
      </c>
      <c r="V19" t="s">
        <v>337</v>
      </c>
      <c r="W19" t="s">
        <v>337</v>
      </c>
      <c r="Y19" t="s">
        <v>754</v>
      </c>
    </row>
    <row r="20" spans="1:25">
      <c r="A20" t="s">
        <v>12</v>
      </c>
      <c r="D20" t="s">
        <v>402</v>
      </c>
      <c r="I20" t="s">
        <v>610</v>
      </c>
      <c r="K20" t="s">
        <v>76</v>
      </c>
      <c r="N20" t="s">
        <v>742</v>
      </c>
      <c r="P20" t="s">
        <v>743</v>
      </c>
      <c r="U20" t="s">
        <v>672</v>
      </c>
      <c r="V20" t="s">
        <v>337</v>
      </c>
      <c r="W20" t="s">
        <v>337</v>
      </c>
      <c r="Y20" t="s">
        <v>755</v>
      </c>
    </row>
    <row r="21" spans="1:25">
      <c r="A21" t="s">
        <v>37</v>
      </c>
      <c r="D21" t="s">
        <v>344</v>
      </c>
      <c r="I21" t="s">
        <v>607</v>
      </c>
      <c r="K21" t="s">
        <v>270</v>
      </c>
      <c r="N21" t="s">
        <v>637</v>
      </c>
      <c r="P21" t="s">
        <v>638</v>
      </c>
      <c r="U21" t="s">
        <v>673</v>
      </c>
      <c r="V21" t="s">
        <v>337</v>
      </c>
      <c r="W21" t="s">
        <v>337</v>
      </c>
      <c r="Y21" t="s">
        <v>756</v>
      </c>
    </row>
    <row r="22" spans="1:25">
      <c r="A22" t="s">
        <v>12</v>
      </c>
      <c r="D22" t="s">
        <v>344</v>
      </c>
      <c r="I22" t="s">
        <v>610</v>
      </c>
      <c r="K22" t="s">
        <v>76</v>
      </c>
      <c r="N22" t="s">
        <v>639</v>
      </c>
      <c r="P22" t="s">
        <v>640</v>
      </c>
      <c r="U22" t="s">
        <v>674</v>
      </c>
      <c r="V22" t="s">
        <v>337</v>
      </c>
      <c r="W22" t="s">
        <v>337</v>
      </c>
      <c r="Y22" t="s">
        <v>757</v>
      </c>
    </row>
    <row r="23" spans="1:25">
      <c r="A23" t="s">
        <v>37</v>
      </c>
      <c r="D23" t="s">
        <v>406</v>
      </c>
      <c r="I23" t="s">
        <v>607</v>
      </c>
      <c r="K23" t="s">
        <v>270</v>
      </c>
      <c r="N23" t="s">
        <v>744</v>
      </c>
      <c r="P23" t="s">
        <v>745</v>
      </c>
      <c r="U23" t="s">
        <v>675</v>
      </c>
      <c r="V23" t="s">
        <v>337</v>
      </c>
      <c r="W23" t="s">
        <v>337</v>
      </c>
      <c r="Y23" t="s">
        <v>758</v>
      </c>
    </row>
    <row r="24" spans="1:25">
      <c r="A24" t="s">
        <v>12</v>
      </c>
      <c r="D24" t="s">
        <v>406</v>
      </c>
      <c r="I24" t="s">
        <v>610</v>
      </c>
      <c r="K24" t="s">
        <v>76</v>
      </c>
      <c r="N24" t="s">
        <v>746</v>
      </c>
      <c r="P24" t="s">
        <v>747</v>
      </c>
      <c r="U24" t="s">
        <v>676</v>
      </c>
      <c r="V24" t="s">
        <v>337</v>
      </c>
      <c r="W24" t="s">
        <v>337</v>
      </c>
      <c r="Y24" t="s">
        <v>759</v>
      </c>
    </row>
    <row r="25" spans="1:25">
      <c r="A25" t="s">
        <v>37</v>
      </c>
      <c r="D25" t="s">
        <v>407</v>
      </c>
      <c r="I25" t="s">
        <v>607</v>
      </c>
      <c r="K25" t="s">
        <v>270</v>
      </c>
      <c r="N25" t="s">
        <v>748</v>
      </c>
      <c r="P25" t="s">
        <v>749</v>
      </c>
      <c r="U25" t="s">
        <v>677</v>
      </c>
      <c r="V25" t="s">
        <v>337</v>
      </c>
      <c r="W25" t="s">
        <v>337</v>
      </c>
      <c r="Y25" t="s">
        <v>760</v>
      </c>
    </row>
    <row r="26" spans="1:25">
      <c r="A26" t="s">
        <v>12</v>
      </c>
      <c r="D26" t="s">
        <v>407</v>
      </c>
      <c r="I26" t="s">
        <v>610</v>
      </c>
      <c r="K26" t="s">
        <v>76</v>
      </c>
      <c r="N26" t="s">
        <v>750</v>
      </c>
      <c r="P26" t="s">
        <v>751</v>
      </c>
      <c r="U26" t="s">
        <v>678</v>
      </c>
      <c r="V26" t="s">
        <v>337</v>
      </c>
      <c r="W26" t="s">
        <v>337</v>
      </c>
      <c r="Y26" t="s">
        <v>761</v>
      </c>
    </row>
    <row r="27" spans="1:25">
      <c r="A27" t="s">
        <v>37</v>
      </c>
      <c r="D27" t="s">
        <v>328</v>
      </c>
      <c r="I27" t="s">
        <v>607</v>
      </c>
      <c r="K27" t="s">
        <v>270</v>
      </c>
      <c r="N27" t="s">
        <v>641</v>
      </c>
      <c r="P27" t="s">
        <v>642</v>
      </c>
      <c r="U27" t="s">
        <v>679</v>
      </c>
      <c r="V27" t="s">
        <v>337</v>
      </c>
      <c r="W27" t="s">
        <v>337</v>
      </c>
      <c r="Y27" t="s">
        <v>762</v>
      </c>
    </row>
    <row r="28" spans="1:25">
      <c r="A28" t="s">
        <v>12</v>
      </c>
      <c r="D28" t="s">
        <v>328</v>
      </c>
      <c r="I28" t="s">
        <v>610</v>
      </c>
      <c r="K28" t="s">
        <v>76</v>
      </c>
      <c r="N28" t="s">
        <v>643</v>
      </c>
      <c r="P28" t="s">
        <v>644</v>
      </c>
      <c r="U28" t="s">
        <v>680</v>
      </c>
      <c r="V28" t="s">
        <v>337</v>
      </c>
      <c r="W28" t="s">
        <v>337</v>
      </c>
      <c r="Y28" t="s">
        <v>763</v>
      </c>
    </row>
    <row r="29" spans="1:25">
      <c r="A29" t="s">
        <v>236</v>
      </c>
      <c r="U29" t="s">
        <v>681</v>
      </c>
      <c r="V29" t="s">
        <v>337</v>
      </c>
      <c r="W29" t="s">
        <v>337</v>
      </c>
      <c r="Y29" t="s">
        <v>764</v>
      </c>
    </row>
    <row r="30" spans="1:25">
      <c r="A30" t="s">
        <v>37</v>
      </c>
      <c r="D30" t="s">
        <v>645</v>
      </c>
      <c r="I30" t="s">
        <v>646</v>
      </c>
      <c r="K30" t="s">
        <v>270</v>
      </c>
      <c r="N30" t="s">
        <v>647</v>
      </c>
      <c r="P30" t="s">
        <v>648</v>
      </c>
      <c r="U30" t="s">
        <v>682</v>
      </c>
      <c r="V30" t="s">
        <v>337</v>
      </c>
      <c r="W30" t="s">
        <v>337</v>
      </c>
    </row>
    <row r="31" spans="1:25">
      <c r="A31" t="s">
        <v>37</v>
      </c>
      <c r="D31" t="s">
        <v>649</v>
      </c>
      <c r="I31" t="s">
        <v>646</v>
      </c>
      <c r="K31" t="s">
        <v>270</v>
      </c>
      <c r="N31" t="s">
        <v>650</v>
      </c>
      <c r="P31" t="s">
        <v>651</v>
      </c>
      <c r="U31" t="s">
        <v>683</v>
      </c>
      <c r="V31" t="s">
        <v>337</v>
      </c>
      <c r="W31" t="s">
        <v>337</v>
      </c>
      <c r="Y31" t="s">
        <v>722</v>
      </c>
    </row>
    <row r="32" spans="1:25">
      <c r="A32" t="s">
        <v>37</v>
      </c>
      <c r="D32" t="s">
        <v>652</v>
      </c>
      <c r="I32" t="s">
        <v>646</v>
      </c>
      <c r="K32" t="s">
        <v>270</v>
      </c>
      <c r="N32" t="s">
        <v>653</v>
      </c>
      <c r="P32" t="s">
        <v>654</v>
      </c>
      <c r="U32" t="s">
        <v>684</v>
      </c>
      <c r="V32" t="s">
        <v>337</v>
      </c>
      <c r="W32" t="s">
        <v>337</v>
      </c>
      <c r="Y32" t="s">
        <v>723</v>
      </c>
    </row>
    <row r="33" spans="21:25">
      <c r="U33" t="s">
        <v>685</v>
      </c>
      <c r="V33" t="s">
        <v>337</v>
      </c>
      <c r="W33" t="s">
        <v>337</v>
      </c>
      <c r="Y33" t="s">
        <v>724</v>
      </c>
    </row>
    <row r="34" spans="21:25">
      <c r="U34" t="s">
        <v>686</v>
      </c>
      <c r="V34" t="s">
        <v>340</v>
      </c>
      <c r="W34" t="s">
        <v>340</v>
      </c>
      <c r="Y34" t="s">
        <v>725</v>
      </c>
    </row>
    <row r="35" spans="21:25">
      <c r="U35" t="s">
        <v>687</v>
      </c>
      <c r="V35" t="s">
        <v>342</v>
      </c>
      <c r="W35" t="s">
        <v>342</v>
      </c>
      <c r="Y35" t="s">
        <v>726</v>
      </c>
    </row>
    <row r="36" spans="21:25">
      <c r="U36" t="s">
        <v>688</v>
      </c>
      <c r="V36" t="s">
        <v>346</v>
      </c>
      <c r="W36" t="s">
        <v>346</v>
      </c>
      <c r="Y36" t="s">
        <v>727</v>
      </c>
    </row>
    <row r="37" spans="21:25">
      <c r="U37" t="s">
        <v>689</v>
      </c>
      <c r="V37" t="s">
        <v>348</v>
      </c>
      <c r="W37" t="s">
        <v>348</v>
      </c>
      <c r="Y37" t="s">
        <v>728</v>
      </c>
    </row>
    <row r="38" spans="21:25">
      <c r="U38" t="s">
        <v>690</v>
      </c>
      <c r="V38" t="s">
        <v>340</v>
      </c>
      <c r="W38" t="s">
        <v>340</v>
      </c>
      <c r="Y38" t="s">
        <v>729</v>
      </c>
    </row>
    <row r="39" spans="21:25">
      <c r="U39" t="s">
        <v>691</v>
      </c>
      <c r="V39" t="s">
        <v>342</v>
      </c>
      <c r="W39" t="s">
        <v>342</v>
      </c>
      <c r="Y39" t="s">
        <v>730</v>
      </c>
    </row>
    <row r="40" spans="21:25">
      <c r="U40" t="s">
        <v>692</v>
      </c>
      <c r="V40" t="s">
        <v>346</v>
      </c>
      <c r="W40" t="s">
        <v>346</v>
      </c>
    </row>
    <row r="41" spans="21:25">
      <c r="U41" t="s">
        <v>693</v>
      </c>
      <c r="V41" t="s">
        <v>348</v>
      </c>
      <c r="W41" t="s">
        <v>348</v>
      </c>
      <c r="Y41" t="s">
        <v>731</v>
      </c>
    </row>
    <row r="42" spans="21:25">
      <c r="U42" t="s">
        <v>694</v>
      </c>
      <c r="V42" t="s">
        <v>340</v>
      </c>
      <c r="W42" t="s">
        <v>340</v>
      </c>
      <c r="Y42" t="s">
        <v>732</v>
      </c>
    </row>
    <row r="43" spans="21:25">
      <c r="U43" t="s">
        <v>695</v>
      </c>
      <c r="V43" t="s">
        <v>342</v>
      </c>
      <c r="W43" t="s">
        <v>342</v>
      </c>
    </row>
    <row r="44" spans="21:25">
      <c r="U44" t="s">
        <v>696</v>
      </c>
      <c r="V44" t="s">
        <v>346</v>
      </c>
      <c r="W44" t="s">
        <v>346</v>
      </c>
    </row>
    <row r="45" spans="21:25">
      <c r="U45" t="s">
        <v>697</v>
      </c>
      <c r="V45" t="s">
        <v>348</v>
      </c>
      <c r="W45" t="s">
        <v>348</v>
      </c>
    </row>
    <row r="46" spans="21:25">
      <c r="U46" t="s">
        <v>698</v>
      </c>
      <c r="V46" t="s">
        <v>699</v>
      </c>
      <c r="W46" t="s">
        <v>699</v>
      </c>
    </row>
    <row r="47" spans="21:25">
      <c r="U47" t="s">
        <v>700</v>
      </c>
      <c r="V47" t="s">
        <v>701</v>
      </c>
      <c r="W47" t="s">
        <v>701</v>
      </c>
    </row>
    <row r="48" spans="21:25">
      <c r="U48" t="s">
        <v>702</v>
      </c>
      <c r="V48" t="s">
        <v>703</v>
      </c>
      <c r="W48" t="s">
        <v>703</v>
      </c>
    </row>
    <row r="49" spans="21:23">
      <c r="U49" t="s">
        <v>704</v>
      </c>
      <c r="V49" t="s">
        <v>705</v>
      </c>
      <c r="W49" t="s">
        <v>705</v>
      </c>
    </row>
    <row r="50" spans="21:23">
      <c r="U50" t="s">
        <v>706</v>
      </c>
      <c r="V50" t="s">
        <v>707</v>
      </c>
      <c r="W50" t="s">
        <v>707</v>
      </c>
    </row>
    <row r="51" spans="21:23">
      <c r="U51" t="s">
        <v>708</v>
      </c>
      <c r="V51" t="s">
        <v>709</v>
      </c>
      <c r="W51" t="s">
        <v>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F23"/>
  <sheetViews>
    <sheetView workbookViewId="0">
      <selection activeCell="F3" sqref="F3:F11"/>
    </sheetView>
  </sheetViews>
  <sheetFormatPr defaultColWidth="9.1328125" defaultRowHeight="14.25"/>
  <cols>
    <col min="1" max="1" width="24.265625" bestFit="1" customWidth="1"/>
    <col min="2" max="2" width="23.265625" bestFit="1" customWidth="1"/>
    <col min="3" max="3" width="37.1328125" bestFit="1" customWidth="1"/>
    <col min="6" max="6" width="11" bestFit="1" customWidth="1"/>
  </cols>
  <sheetData>
    <row r="1" spans="1:6">
      <c r="A1" s="1" t="s">
        <v>35</v>
      </c>
    </row>
    <row r="2" spans="1:6">
      <c r="A2" t="s">
        <v>36</v>
      </c>
      <c r="B2" t="s">
        <v>1</v>
      </c>
      <c r="C2" t="s">
        <v>19</v>
      </c>
    </row>
    <row r="3" spans="1:6">
      <c r="A3" t="s">
        <v>272</v>
      </c>
      <c r="B3" t="s">
        <v>281</v>
      </c>
      <c r="C3" t="str">
        <f>B3</f>
        <v>Short-range passenger travels</v>
      </c>
      <c r="F3" s="3" t="str">
        <f>A3</f>
        <v>TRAPS</v>
      </c>
    </row>
    <row r="4" spans="1:6">
      <c r="A4" t="s">
        <v>273</v>
      </c>
      <c r="B4" t="s">
        <v>282</v>
      </c>
      <c r="C4" t="str">
        <f t="shared" ref="C4:C19" si="0">B4</f>
        <v>Medium-range passenger travels</v>
      </c>
      <c r="F4" s="3" t="str">
        <f>F3&amp;","&amp;A4</f>
        <v>TRAPS,TRAPM</v>
      </c>
    </row>
    <row r="5" spans="1:6">
      <c r="A5" t="s">
        <v>274</v>
      </c>
      <c r="B5" t="s">
        <v>283</v>
      </c>
      <c r="C5" t="str">
        <f t="shared" si="0"/>
        <v>Long-range passenger travels</v>
      </c>
      <c r="F5" s="3" t="str">
        <f t="shared" ref="F5:F23" si="1">F4&amp;","&amp;A5</f>
        <v>TRAPS,TRAPM,TRAPL</v>
      </c>
    </row>
    <row r="6" spans="1:6">
      <c r="A6" t="s">
        <v>275</v>
      </c>
      <c r="B6" t="s">
        <v>284</v>
      </c>
      <c r="C6" t="str">
        <f t="shared" si="0"/>
        <v>Goods vehicle for freight</v>
      </c>
      <c r="F6" s="3" t="str">
        <f t="shared" si="1"/>
        <v>TRAPS,TRAPM,TRAPL,TRAF</v>
      </c>
    </row>
    <row r="7" spans="1:6">
      <c r="A7" t="s">
        <v>276</v>
      </c>
      <c r="B7" t="s">
        <v>285</v>
      </c>
      <c r="C7" t="str">
        <f t="shared" si="0"/>
        <v xml:space="preserve">Turism fuel </v>
      </c>
      <c r="F7" s="3" t="str">
        <f>A7</f>
        <v>TTURS</v>
      </c>
    </row>
    <row r="8" spans="1:6">
      <c r="A8" t="s">
        <v>277</v>
      </c>
      <c r="B8" t="s">
        <v>286</v>
      </c>
      <c r="C8" t="str">
        <f t="shared" si="0"/>
        <v xml:space="preserve">Navigation fuel </v>
      </c>
      <c r="F8" s="3" t="str">
        <f t="shared" si="1"/>
        <v>TTURS,TNAV</v>
      </c>
    </row>
    <row r="9" spans="1:6">
      <c r="A9" t="s">
        <v>278</v>
      </c>
      <c r="B9" t="s">
        <v>287</v>
      </c>
      <c r="C9" t="str">
        <f t="shared" si="0"/>
        <v>Unspecified fuel</v>
      </c>
      <c r="F9" s="3" t="str">
        <f t="shared" si="1"/>
        <v>TTURS,TNAV,TOTH</v>
      </c>
    </row>
    <row r="10" spans="1:6">
      <c r="A10" t="s">
        <v>279</v>
      </c>
      <c r="B10" t="s">
        <v>288</v>
      </c>
      <c r="C10" t="str">
        <f t="shared" si="0"/>
        <v>Aviation domestic</v>
      </c>
      <c r="F10" s="3" t="str">
        <f t="shared" si="1"/>
        <v>TTURS,TNAV,TOTH,TAVIDOM</v>
      </c>
    </row>
    <row r="11" spans="1:6">
      <c r="A11" t="s">
        <v>280</v>
      </c>
      <c r="B11" t="s">
        <v>289</v>
      </c>
      <c r="C11" t="str">
        <f t="shared" si="0"/>
        <v>Aviation international</v>
      </c>
      <c r="F11" s="3" t="str">
        <f t="shared" si="1"/>
        <v>TTURS,TNAV,TOTH,TAVIDOM,TAVIINT</v>
      </c>
    </row>
    <row r="12" spans="1:6">
      <c r="A12" t="s">
        <v>236</v>
      </c>
      <c r="B12" t="s">
        <v>136</v>
      </c>
      <c r="C12" t="str">
        <f t="shared" si="0"/>
        <v>Hydrogen</v>
      </c>
      <c r="F12" s="3"/>
    </row>
    <row r="13" spans="1:6">
      <c r="A13" t="s">
        <v>290</v>
      </c>
      <c r="B13" t="s">
        <v>301</v>
      </c>
      <c r="C13" t="str">
        <f t="shared" si="0"/>
        <v>heavy goods truck</v>
      </c>
      <c r="F13" s="3" t="str">
        <f>A13</f>
        <v>DMD_TRA-F-HTRUCK</v>
      </c>
    </row>
    <row r="14" spans="1:6">
      <c r="A14" t="s">
        <v>291</v>
      </c>
      <c r="B14" t="s">
        <v>302</v>
      </c>
      <c r="C14" t="str">
        <f t="shared" si="0"/>
        <v>light goods truck</v>
      </c>
      <c r="F14" s="3" t="str">
        <f t="shared" si="1"/>
        <v>DMD_TRA-F-HTRUCK,DMD_TRA-F-LTRUCK</v>
      </c>
    </row>
    <row r="15" spans="1:6">
      <c r="A15" t="s">
        <v>292</v>
      </c>
      <c r="B15" t="s">
        <v>303</v>
      </c>
      <c r="C15" t="str">
        <f t="shared" si="0"/>
        <v>medium goods truck</v>
      </c>
      <c r="F15" s="3" t="str">
        <f t="shared" si="1"/>
        <v>DMD_TRA-F-HTRUCK,DMD_TRA-F-LTRUCK,DMD_TRA-F-MTRUCK</v>
      </c>
    </row>
    <row r="16" spans="1:6">
      <c r="A16" t="s">
        <v>293</v>
      </c>
      <c r="B16" t="s">
        <v>304</v>
      </c>
      <c r="C16" t="str">
        <f t="shared" si="0"/>
        <v>train</v>
      </c>
      <c r="F16" s="3" t="str">
        <f t="shared" si="1"/>
        <v>DMD_TRA-F-HTRUCK,DMD_TRA-F-LTRUCK,DMD_TRA-F-MTRUCK,DMD_TRA-F-TRAIN</v>
      </c>
    </row>
    <row r="17" spans="1:6">
      <c r="A17" t="s">
        <v>294</v>
      </c>
      <c r="B17" t="s">
        <v>305</v>
      </c>
      <c r="C17" t="str">
        <f t="shared" si="0"/>
        <v>active modes</v>
      </c>
      <c r="F17" s="3" t="str">
        <f t="shared" si="1"/>
        <v>DMD_TRA-F-HTRUCK,DMD_TRA-F-LTRUCK,DMD_TRA-F-MTRUCK,DMD_TRA-F-TRAIN,DMD_TRA-P-ACTIVE</v>
      </c>
    </row>
    <row r="18" spans="1:6">
      <c r="A18" t="s">
        <v>295</v>
      </c>
      <c r="B18" t="s">
        <v>153</v>
      </c>
      <c r="C18" t="str">
        <f t="shared" si="0"/>
        <v>bus</v>
      </c>
      <c r="F18" s="3" t="str">
        <f t="shared" si="1"/>
        <v>DMD_TRA-F-HTRUCK,DMD_TRA-F-LTRUCK,DMD_TRA-F-MTRUCK,DMD_TRA-F-TRAIN,DMD_TRA-P-ACTIVE,DMD_TRA-P-BUS</v>
      </c>
    </row>
    <row r="19" spans="1:6">
      <c r="A19" t="s">
        <v>296</v>
      </c>
      <c r="B19" t="s">
        <v>306</v>
      </c>
      <c r="C19" t="str">
        <f t="shared" si="0"/>
        <v>private car</v>
      </c>
      <c r="F19" s="3" t="str">
        <f t="shared" si="1"/>
        <v>DMD_TRA-F-HTRUCK,DMD_TRA-F-LTRUCK,DMD_TRA-F-MTRUCK,DMD_TRA-F-TRAIN,DMD_TRA-P-ACTIVE,DMD_TRA-P-BUS,DMD_TRA-P-CAR</v>
      </c>
    </row>
    <row r="20" spans="1:6">
      <c r="A20" t="s">
        <v>297</v>
      </c>
      <c r="B20" t="s">
        <v>307</v>
      </c>
      <c r="F20" s="3" t="str">
        <f t="shared" si="1"/>
        <v>DMD_TRA-F-HTRUCK,DMD_TRA-F-LTRUCK,DMD_TRA-F-MTRUCK,DMD_TRA-F-TRAIN,DMD_TRA-P-ACTIVE,DMD_TRA-P-BUS,DMD_TRA-P-CAR,DMD_TRA-P-HPT</v>
      </c>
    </row>
    <row r="21" spans="1:6">
      <c r="A21" t="s">
        <v>298</v>
      </c>
      <c r="B21" t="s">
        <v>308</v>
      </c>
      <c r="F21" s="3" t="str">
        <f t="shared" si="1"/>
        <v>DMD_TRA-F-HTRUCK,DMD_TRA-F-LTRUCK,DMD_TRA-F-MTRUCK,DMD_TRA-F-TRAIN,DMD_TRA-P-ACTIVE,DMD_TRA-P-BUS,DMD_TRA-P-CAR,DMD_TRA-P-HPT,DMD_TRA-P-LPT</v>
      </c>
    </row>
    <row r="22" spans="1:6">
      <c r="A22" t="s">
        <v>299</v>
      </c>
      <c r="B22" t="s">
        <v>309</v>
      </c>
      <c r="F22" s="3" t="str">
        <f t="shared" si="1"/>
        <v>DMD_TRA-F-HTRUCK,DMD_TRA-F-LTRUCK,DMD_TRA-F-MTRUCK,DMD_TRA-F-TRAIN,DMD_TRA-P-ACTIVE,DMD_TRA-P-BUS,DMD_TRA-P-CAR,DMD_TRA-P-HPT,DMD_TRA-P-LPT,DMD_TRA-P-MOT</v>
      </c>
    </row>
    <row r="23" spans="1:6">
      <c r="A23" t="s">
        <v>300</v>
      </c>
      <c r="B23" t="s">
        <v>186</v>
      </c>
      <c r="F23" s="3" t="str">
        <f t="shared" si="1"/>
        <v>DMD_TRA-F-HTRUCK,DMD_TRA-F-LTRUCK,DMD_TRA-F-MTRUCK,DMD_TRA-F-TRAIN,DMD_TRA-P-ACTIVE,DMD_TRA-P-BUS,DMD_TRA-P-CAR,DMD_TRA-P-HPT,DMD_TRA-P-LPT,DMD_TRA-P-MOT,DMD_TRA-P-TAXI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F11"/>
  <sheetViews>
    <sheetView workbookViewId="0">
      <pane ySplit="2" topLeftCell="A3" activePane="bottomLeft" state="frozen"/>
      <selection pane="bottomLeft" activeCell="F6" sqref="F6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6">
      <c r="A1" s="1" t="s">
        <v>39</v>
      </c>
    </row>
    <row r="2" spans="1:6">
      <c r="A2" t="s">
        <v>40</v>
      </c>
      <c r="B2" t="s">
        <v>1</v>
      </c>
      <c r="C2" t="s">
        <v>19</v>
      </c>
    </row>
    <row r="3" spans="1:6">
      <c r="A3" t="s">
        <v>272</v>
      </c>
      <c r="B3" t="s">
        <v>281</v>
      </c>
      <c r="F3" s="3" t="str">
        <f>A3</f>
        <v>TRAPS</v>
      </c>
    </row>
    <row r="4" spans="1:6">
      <c r="A4" t="s">
        <v>273</v>
      </c>
      <c r="B4" t="s">
        <v>282</v>
      </c>
      <c r="F4" s="3" t="str">
        <f>F3&amp;","&amp;A4</f>
        <v>TRAPS,TRAPM</v>
      </c>
    </row>
    <row r="5" spans="1:6">
      <c r="A5" t="s">
        <v>274</v>
      </c>
      <c r="B5" t="s">
        <v>283</v>
      </c>
      <c r="F5" s="3" t="str">
        <f t="shared" ref="F5:F11" si="0">F4&amp;","&amp;A5</f>
        <v>TRAPS,TRAPM,TRAPL</v>
      </c>
    </row>
    <row r="6" spans="1:6">
      <c r="A6" t="s">
        <v>275</v>
      </c>
      <c r="B6" t="s">
        <v>284</v>
      </c>
      <c r="F6" s="3" t="str">
        <f t="shared" si="0"/>
        <v>TRAPS,TRAPM,TRAPL,TRAF</v>
      </c>
    </row>
    <row r="7" spans="1:6">
      <c r="A7" t="s">
        <v>276</v>
      </c>
      <c r="B7" t="s">
        <v>285</v>
      </c>
      <c r="F7" s="3" t="str">
        <f>A7</f>
        <v>TTURS</v>
      </c>
    </row>
    <row r="8" spans="1:6">
      <c r="A8" t="s">
        <v>277</v>
      </c>
      <c r="B8" t="s">
        <v>286</v>
      </c>
      <c r="F8" s="3" t="str">
        <f t="shared" si="0"/>
        <v>TTURS,TNAV</v>
      </c>
    </row>
    <row r="9" spans="1:6">
      <c r="A9" t="s">
        <v>278</v>
      </c>
      <c r="B9" t="s">
        <v>287</v>
      </c>
      <c r="F9" s="3" t="str">
        <f t="shared" si="0"/>
        <v>TTURS,TNAV,TOTH</v>
      </c>
    </row>
    <row r="10" spans="1:6">
      <c r="A10" t="s">
        <v>279</v>
      </c>
      <c r="B10" t="s">
        <v>288</v>
      </c>
      <c r="F10" s="3" t="str">
        <f t="shared" si="0"/>
        <v>TTURS,TNAV,TOTH,TAVIDOM</v>
      </c>
    </row>
    <row r="11" spans="1:6">
      <c r="A11" t="s">
        <v>280</v>
      </c>
      <c r="B11" t="s">
        <v>289</v>
      </c>
      <c r="F11" s="3" t="str">
        <f t="shared" si="0"/>
        <v>TTURS,TNAV,TOTH,TAVIDOM,TAVIINT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2"/>
  <sheetViews>
    <sheetView workbookViewId="0"/>
  </sheetViews>
  <sheetFormatPr defaultRowHeight="14.25"/>
  <cols>
    <col min="1" max="1" width="11.59765625" bestFit="1" customWidth="1"/>
    <col min="2" max="2" width="34" bestFit="1" customWidth="1"/>
    <col min="3" max="3" width="11.59765625" bestFit="1" customWidth="1"/>
  </cols>
  <sheetData>
    <row r="1" spans="1:3">
      <c r="A1" t="s">
        <v>97</v>
      </c>
    </row>
    <row r="2" spans="1:3">
      <c r="A2" t="s">
        <v>98</v>
      </c>
      <c r="B2" t="s">
        <v>99</v>
      </c>
      <c r="C2" t="s">
        <v>100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zoomScaleNormal="100" workbookViewId="0"/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>
      <c r="A1" t="s">
        <v>145</v>
      </c>
    </row>
    <row r="2" spans="1:10">
      <c r="A2" t="s">
        <v>98</v>
      </c>
      <c r="B2" t="s">
        <v>99</v>
      </c>
      <c r="C2" t="s">
        <v>100</v>
      </c>
      <c r="D2" t="s">
        <v>242</v>
      </c>
      <c r="I2" t="s">
        <v>146</v>
      </c>
    </row>
    <row r="3" spans="1:10">
      <c r="A3" t="s">
        <v>192</v>
      </c>
      <c r="B3" t="str">
        <f>"T-"&amp;I3&amp;"*"</f>
        <v>T-AVI*</v>
      </c>
      <c r="C3" t="str">
        <f>J3</f>
        <v>aviation</v>
      </c>
      <c r="I3" t="s">
        <v>148</v>
      </c>
      <c r="J3" t="s">
        <v>149</v>
      </c>
    </row>
    <row r="4" spans="1:10">
      <c r="A4" t="s">
        <v>192</v>
      </c>
      <c r="B4" t="str">
        <f t="shared" ref="B4:B18" si="0">"T-"&amp;I4&amp;"*"</f>
        <v>T-BUS*</v>
      </c>
      <c r="C4" t="str">
        <f t="shared" ref="C4:C18" si="1">J4</f>
        <v>bus</v>
      </c>
      <c r="I4" t="s">
        <v>152</v>
      </c>
      <c r="J4" t="s">
        <v>153</v>
      </c>
    </row>
    <row r="5" spans="1:10">
      <c r="A5" t="s">
        <v>192</v>
      </c>
      <c r="B5" t="str">
        <f t="shared" si="0"/>
        <v>T-CAR*</v>
      </c>
      <c r="C5" t="str">
        <f t="shared" si="1"/>
        <v>car</v>
      </c>
      <c r="I5" t="s">
        <v>156</v>
      </c>
      <c r="J5" t="s">
        <v>157</v>
      </c>
    </row>
    <row r="6" spans="1:10">
      <c r="A6" t="s">
        <v>192</v>
      </c>
      <c r="B6" t="str">
        <f t="shared" si="0"/>
        <v>T-CYC*</v>
      </c>
      <c r="C6" t="str">
        <f t="shared" si="1"/>
        <v>cycle</v>
      </c>
      <c r="I6" t="s">
        <v>159</v>
      </c>
      <c r="J6" t="s">
        <v>160</v>
      </c>
    </row>
    <row r="7" spans="1:10">
      <c r="A7" t="s">
        <v>192</v>
      </c>
      <c r="B7" t="str">
        <f t="shared" si="0"/>
        <v>T-GTR*</v>
      </c>
      <c r="C7" t="str">
        <f t="shared" si="1"/>
        <v>goods train</v>
      </c>
      <c r="I7" t="s">
        <v>162</v>
      </c>
      <c r="J7" t="s">
        <v>163</v>
      </c>
    </row>
    <row r="8" spans="1:10">
      <c r="A8" t="s">
        <v>192</v>
      </c>
      <c r="B8" t="str">
        <f t="shared" si="0"/>
        <v>T-HGT*</v>
      </c>
      <c r="C8" t="str">
        <f t="shared" si="1"/>
        <v>heavy truck</v>
      </c>
      <c r="I8" t="s">
        <v>165</v>
      </c>
      <c r="J8" t="s">
        <v>166</v>
      </c>
    </row>
    <row r="9" spans="1:10">
      <c r="A9" t="s">
        <v>192</v>
      </c>
      <c r="B9" t="str">
        <f t="shared" si="0"/>
        <v>T-HPT*</v>
      </c>
      <c r="C9" t="str">
        <f t="shared" si="1"/>
        <v>heavy pass train</v>
      </c>
      <c r="I9" t="s">
        <v>168</v>
      </c>
      <c r="J9" t="s">
        <v>169</v>
      </c>
    </row>
    <row r="10" spans="1:10">
      <c r="A10" t="s">
        <v>192</v>
      </c>
      <c r="B10" t="str">
        <f t="shared" si="0"/>
        <v>T-LGT*</v>
      </c>
      <c r="C10" t="str">
        <f t="shared" si="1"/>
        <v>light truck</v>
      </c>
      <c r="I10" t="s">
        <v>171</v>
      </c>
      <c r="J10" t="s">
        <v>172</v>
      </c>
    </row>
    <row r="11" spans="1:10">
      <c r="A11" t="s">
        <v>192</v>
      </c>
      <c r="B11" t="str">
        <f t="shared" si="0"/>
        <v>T-LPT*</v>
      </c>
      <c r="C11" t="str">
        <f t="shared" si="1"/>
        <v>light pass train</v>
      </c>
      <c r="I11" t="s">
        <v>173</v>
      </c>
      <c r="J11" t="s">
        <v>174</v>
      </c>
    </row>
    <row r="12" spans="1:10">
      <c r="A12" t="s">
        <v>192</v>
      </c>
      <c r="B12" t="str">
        <f t="shared" si="0"/>
        <v>T-MGT*</v>
      </c>
      <c r="C12" t="str">
        <f t="shared" si="1"/>
        <v>med truck</v>
      </c>
      <c r="I12" t="s">
        <v>176</v>
      </c>
      <c r="J12" t="s">
        <v>177</v>
      </c>
    </row>
    <row r="13" spans="1:10">
      <c r="A13" t="s">
        <v>192</v>
      </c>
      <c r="B13" t="str">
        <f t="shared" si="0"/>
        <v>T-MOT*</v>
      </c>
      <c r="C13" t="str">
        <f t="shared" si="1"/>
        <v>moto</v>
      </c>
      <c r="I13" t="s">
        <v>179</v>
      </c>
      <c r="J13" t="s">
        <v>180</v>
      </c>
    </row>
    <row r="14" spans="1:10">
      <c r="A14" t="s">
        <v>192</v>
      </c>
      <c r="B14" t="str">
        <f t="shared" si="0"/>
        <v>T-NAV*</v>
      </c>
      <c r="C14" t="str">
        <f t="shared" si="1"/>
        <v>navigation</v>
      </c>
      <c r="I14" t="s">
        <v>182</v>
      </c>
      <c r="J14" t="s">
        <v>183</v>
      </c>
    </row>
    <row r="15" spans="1:10">
      <c r="A15" t="s">
        <v>192</v>
      </c>
      <c r="B15" t="str">
        <f t="shared" si="0"/>
        <v>T-TAX*</v>
      </c>
      <c r="C15" t="str">
        <f t="shared" si="1"/>
        <v>taxi</v>
      </c>
      <c r="I15" t="s">
        <v>185</v>
      </c>
      <c r="J15" t="s">
        <v>186</v>
      </c>
    </row>
    <row r="16" spans="1:10">
      <c r="A16" t="s">
        <v>192</v>
      </c>
      <c r="B16" t="str">
        <f t="shared" si="0"/>
        <v>T-TUR*</v>
      </c>
      <c r="C16" t="str">
        <f t="shared" si="1"/>
        <v>tourism</v>
      </c>
      <c r="I16" t="s">
        <v>187</v>
      </c>
      <c r="J16" t="s">
        <v>188</v>
      </c>
    </row>
    <row r="17" spans="1:10">
      <c r="A17" t="s">
        <v>192</v>
      </c>
      <c r="B17" t="str">
        <f t="shared" si="0"/>
        <v>T-OTH*</v>
      </c>
      <c r="C17" t="str">
        <f t="shared" si="1"/>
        <v>other</v>
      </c>
      <c r="I17" t="s">
        <v>189</v>
      </c>
      <c r="J17" t="s">
        <v>190</v>
      </c>
    </row>
    <row r="18" spans="1:10">
      <c r="A18" t="s">
        <v>192</v>
      </c>
      <c r="B18" t="str">
        <f t="shared" si="0"/>
        <v>T-WLK*</v>
      </c>
      <c r="C18" t="str">
        <f t="shared" si="1"/>
        <v>walk</v>
      </c>
      <c r="I18" t="s">
        <v>184</v>
      </c>
      <c r="J18" t="s">
        <v>191</v>
      </c>
    </row>
    <row r="19" spans="1:10">
      <c r="A19" t="s">
        <v>147</v>
      </c>
      <c r="B19" t="str">
        <f>"*"&amp;I19&amp;"*"</f>
        <v>*EV_*</v>
      </c>
      <c r="C19" t="str">
        <f>J19</f>
        <v>EV_</v>
      </c>
      <c r="I19" t="s">
        <v>175</v>
      </c>
      <c r="J19" t="s">
        <v>175</v>
      </c>
    </row>
    <row r="20" spans="1:10">
      <c r="A20" t="s">
        <v>147</v>
      </c>
      <c r="B20" t="str">
        <f>"*"&amp;I20&amp;"*"</f>
        <v>*DOM*</v>
      </c>
      <c r="C20" t="str">
        <f>J20</f>
        <v>domestic</v>
      </c>
      <c r="I20" t="s">
        <v>150</v>
      </c>
      <c r="J20" t="s">
        <v>151</v>
      </c>
    </row>
    <row r="21" spans="1:10">
      <c r="A21" t="s">
        <v>147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154</v>
      </c>
      <c r="J21" t="s">
        <v>155</v>
      </c>
    </row>
    <row r="22" spans="1:10">
      <c r="A22" t="s">
        <v>147</v>
      </c>
      <c r="B22" t="str">
        <f t="shared" si="2"/>
        <v>*BEV*</v>
      </c>
      <c r="C22" t="str">
        <f t="shared" si="3"/>
        <v>BEV</v>
      </c>
      <c r="I22" t="s">
        <v>158</v>
      </c>
      <c r="J22" t="s">
        <v>158</v>
      </c>
    </row>
    <row r="23" spans="1:10">
      <c r="A23" t="s">
        <v>147</v>
      </c>
      <c r="B23" t="str">
        <f t="shared" si="2"/>
        <v>*ICE*</v>
      </c>
      <c r="C23" t="str">
        <f t="shared" si="3"/>
        <v>ICE</v>
      </c>
      <c r="I23" t="s">
        <v>161</v>
      </c>
      <c r="J23" t="s">
        <v>161</v>
      </c>
    </row>
    <row r="24" spans="1:10">
      <c r="A24" t="s">
        <v>147</v>
      </c>
      <c r="B24" t="str">
        <f t="shared" si="2"/>
        <v>*FCV*</v>
      </c>
      <c r="C24" t="str">
        <f t="shared" si="3"/>
        <v>FCV</v>
      </c>
      <c r="I24" t="s">
        <v>164</v>
      </c>
      <c r="J24" t="s">
        <v>164</v>
      </c>
    </row>
    <row r="25" spans="1:10">
      <c r="A25" t="s">
        <v>147</v>
      </c>
      <c r="B25" t="str">
        <f t="shared" si="2"/>
        <v>*HEV*</v>
      </c>
      <c r="C25" t="str">
        <f t="shared" si="3"/>
        <v>HEV</v>
      </c>
      <c r="I25" t="s">
        <v>167</v>
      </c>
      <c r="J25" t="s">
        <v>167</v>
      </c>
    </row>
    <row r="26" spans="1:10">
      <c r="A26" t="s">
        <v>147</v>
      </c>
      <c r="B26" t="str">
        <f t="shared" si="2"/>
        <v>*PHE*</v>
      </c>
      <c r="C26" t="str">
        <f t="shared" si="3"/>
        <v>PHE</v>
      </c>
      <c r="I26" t="s">
        <v>170</v>
      </c>
      <c r="J26" t="s">
        <v>170</v>
      </c>
    </row>
    <row r="27" spans="1:10">
      <c r="A27" t="s">
        <v>147</v>
      </c>
      <c r="B27" t="str">
        <f t="shared" si="2"/>
        <v>*CYC*</v>
      </c>
      <c r="C27" t="str">
        <f t="shared" si="3"/>
        <v>CYC</v>
      </c>
      <c r="I27" t="s">
        <v>159</v>
      </c>
      <c r="J27" t="s">
        <v>159</v>
      </c>
    </row>
    <row r="28" spans="1:10">
      <c r="A28" t="s">
        <v>147</v>
      </c>
      <c r="B28" t="str">
        <f t="shared" si="2"/>
        <v>*NEW*</v>
      </c>
      <c r="C28" t="str">
        <f t="shared" si="3"/>
        <v>NEW</v>
      </c>
      <c r="I28" t="s">
        <v>178</v>
      </c>
      <c r="J28" t="s">
        <v>178</v>
      </c>
    </row>
    <row r="29" spans="1:10">
      <c r="A29" t="s">
        <v>147</v>
      </c>
      <c r="B29" t="str">
        <f t="shared" si="2"/>
        <v>*CON*</v>
      </c>
      <c r="C29" t="str">
        <f t="shared" si="3"/>
        <v>CON</v>
      </c>
      <c r="I29" t="s">
        <v>181</v>
      </c>
      <c r="J29" t="s">
        <v>181</v>
      </c>
    </row>
    <row r="30" spans="1:10">
      <c r="A30" t="s">
        <v>147</v>
      </c>
      <c r="B30" t="str">
        <f t="shared" si="2"/>
        <v>*WLK*</v>
      </c>
      <c r="C30" t="str">
        <f t="shared" si="3"/>
        <v>WLK</v>
      </c>
      <c r="I30" t="s">
        <v>184</v>
      </c>
      <c r="J30" t="s">
        <v>184</v>
      </c>
    </row>
    <row r="31" spans="1:10">
      <c r="A31" t="s">
        <v>147</v>
      </c>
      <c r="C31" t="s">
        <v>127</v>
      </c>
      <c r="D31" t="s">
        <v>110</v>
      </c>
    </row>
    <row r="32" spans="1:10">
      <c r="A32" t="s">
        <v>147</v>
      </c>
      <c r="C32" t="s">
        <v>128</v>
      </c>
      <c r="D32" t="s">
        <v>111</v>
      </c>
    </row>
    <row r="33" spans="1:4">
      <c r="A33" t="s">
        <v>147</v>
      </c>
      <c r="C33" t="s">
        <v>129</v>
      </c>
      <c r="D33" t="s">
        <v>112</v>
      </c>
    </row>
    <row r="34" spans="1:4">
      <c r="A34" t="s">
        <v>147</v>
      </c>
      <c r="C34" t="s">
        <v>130</v>
      </c>
      <c r="D34" t="s">
        <v>113</v>
      </c>
    </row>
    <row r="35" spans="1:4">
      <c r="A35" t="s">
        <v>147</v>
      </c>
      <c r="C35" t="s">
        <v>131</v>
      </c>
      <c r="D35" t="s">
        <v>114</v>
      </c>
    </row>
    <row r="36" spans="1:4">
      <c r="A36" t="s">
        <v>147</v>
      </c>
      <c r="C36" t="s">
        <v>132</v>
      </c>
      <c r="D36" t="s">
        <v>115</v>
      </c>
    </row>
    <row r="37" spans="1:4">
      <c r="A37" t="s">
        <v>147</v>
      </c>
      <c r="C37" t="s">
        <v>133</v>
      </c>
      <c r="D37" t="s">
        <v>116</v>
      </c>
    </row>
    <row r="38" spans="1:4">
      <c r="A38" t="s">
        <v>147</v>
      </c>
      <c r="C38" t="s">
        <v>134</v>
      </c>
      <c r="D38" t="s">
        <v>117</v>
      </c>
    </row>
    <row r="39" spans="1:4">
      <c r="A39" t="s">
        <v>147</v>
      </c>
      <c r="C39" t="s">
        <v>135</v>
      </c>
      <c r="D39" t="s">
        <v>118</v>
      </c>
    </row>
    <row r="40" spans="1:4">
      <c r="A40" t="s">
        <v>147</v>
      </c>
      <c r="C40" t="s">
        <v>136</v>
      </c>
      <c r="D40" t="s">
        <v>119</v>
      </c>
    </row>
    <row r="41" spans="1:4">
      <c r="A41" t="s">
        <v>147</v>
      </c>
      <c r="C41" t="s">
        <v>5</v>
      </c>
      <c r="D41" t="s">
        <v>120</v>
      </c>
    </row>
    <row r="42" spans="1:4">
      <c r="A42" t="s">
        <v>147</v>
      </c>
      <c r="C42" t="s">
        <v>137</v>
      </c>
      <c r="D42" t="s">
        <v>121</v>
      </c>
    </row>
    <row r="43" spans="1:4">
      <c r="A43" t="s">
        <v>147</v>
      </c>
      <c r="C43" t="s">
        <v>6</v>
      </c>
      <c r="D43" t="s">
        <v>122</v>
      </c>
    </row>
    <row r="44" spans="1:4">
      <c r="A44" t="s">
        <v>147</v>
      </c>
      <c r="C44" t="s">
        <v>7</v>
      </c>
      <c r="D44" t="s">
        <v>123</v>
      </c>
    </row>
    <row r="45" spans="1:4">
      <c r="A45" t="s">
        <v>147</v>
      </c>
      <c r="C45" t="s">
        <v>138</v>
      </c>
      <c r="D45" t="s">
        <v>124</v>
      </c>
    </row>
    <row r="46" spans="1:4">
      <c r="A46" t="s">
        <v>147</v>
      </c>
      <c r="C46" t="s">
        <v>139</v>
      </c>
      <c r="D46" t="s">
        <v>125</v>
      </c>
    </row>
    <row r="47" spans="1:4">
      <c r="A47" t="s">
        <v>147</v>
      </c>
      <c r="C47" t="s">
        <v>140</v>
      </c>
      <c r="D47" t="s">
        <v>126</v>
      </c>
    </row>
    <row r="48" spans="1:4">
      <c r="A48" t="s">
        <v>147</v>
      </c>
      <c r="C48" t="s">
        <v>246</v>
      </c>
      <c r="D48" t="s">
        <v>243</v>
      </c>
    </row>
    <row r="49" spans="1:4">
      <c r="A49" t="s">
        <v>147</v>
      </c>
      <c r="C49" t="s">
        <v>247</v>
      </c>
      <c r="D49" t="s">
        <v>244</v>
      </c>
    </row>
    <row r="50" spans="1:4">
      <c r="A50" t="s">
        <v>147</v>
      </c>
      <c r="C50" t="s">
        <v>248</v>
      </c>
      <c r="D50" t="s">
        <v>245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C23"/>
  <sheetViews>
    <sheetView zoomScaleNormal="100" workbookViewId="0">
      <pane ySplit="2" topLeftCell="A3" activePane="bottomLeft" state="frozen"/>
      <selection pane="bottomLeft" activeCell="C15" sqref="C15"/>
    </sheetView>
  </sheetViews>
  <sheetFormatPr defaultColWidth="9.1328125" defaultRowHeight="14.25"/>
  <cols>
    <col min="1" max="1" width="13.73046875" bestFit="1" customWidth="1"/>
    <col min="2" max="2" width="8.265625" bestFit="1" customWidth="1"/>
    <col min="3" max="3" width="11" bestFit="1" customWidth="1"/>
  </cols>
  <sheetData>
    <row r="1" spans="1:3">
      <c r="A1" t="s">
        <v>221</v>
      </c>
    </row>
    <row r="2" spans="1:3">
      <c r="A2" t="s">
        <v>98</v>
      </c>
      <c r="B2" t="s">
        <v>99</v>
      </c>
      <c r="C2" t="s">
        <v>100</v>
      </c>
    </row>
    <row r="3" spans="1:3">
      <c r="A3" t="s">
        <v>220</v>
      </c>
      <c r="B3" t="s">
        <v>209</v>
      </c>
      <c r="C3" t="s">
        <v>199</v>
      </c>
    </row>
    <row r="4" spans="1:3">
      <c r="A4" t="s">
        <v>220</v>
      </c>
      <c r="B4" t="s">
        <v>210</v>
      </c>
      <c r="C4" t="s">
        <v>200</v>
      </c>
    </row>
    <row r="5" spans="1:3">
      <c r="A5" t="s">
        <v>220</v>
      </c>
      <c r="B5" t="s">
        <v>211</v>
      </c>
      <c r="C5" t="s">
        <v>201</v>
      </c>
    </row>
    <row r="6" spans="1:3">
      <c r="A6" t="s">
        <v>220</v>
      </c>
      <c r="B6" t="s">
        <v>212</v>
      </c>
      <c r="C6" t="s">
        <v>202</v>
      </c>
    </row>
    <row r="7" spans="1:3">
      <c r="A7" t="s">
        <v>220</v>
      </c>
      <c r="B7" t="s">
        <v>213</v>
      </c>
      <c r="C7" t="s">
        <v>203</v>
      </c>
    </row>
    <row r="8" spans="1:3">
      <c r="A8" t="s">
        <v>220</v>
      </c>
      <c r="B8" t="s">
        <v>214</v>
      </c>
      <c r="C8" t="s">
        <v>101</v>
      </c>
    </row>
    <row r="9" spans="1:3">
      <c r="A9" t="s">
        <v>220</v>
      </c>
      <c r="B9" t="s">
        <v>215</v>
      </c>
      <c r="C9" t="s">
        <v>204</v>
      </c>
    </row>
    <row r="10" spans="1:3">
      <c r="A10" t="s">
        <v>220</v>
      </c>
      <c r="B10" t="s">
        <v>216</v>
      </c>
      <c r="C10" t="s">
        <v>205</v>
      </c>
    </row>
    <row r="11" spans="1:3">
      <c r="A11" t="s">
        <v>220</v>
      </c>
      <c r="B11" t="s">
        <v>217</v>
      </c>
      <c r="C11" t="s">
        <v>206</v>
      </c>
    </row>
    <row r="12" spans="1:3">
      <c r="A12" t="s">
        <v>220</v>
      </c>
      <c r="B12" t="s">
        <v>218</v>
      </c>
      <c r="C12" t="s">
        <v>207</v>
      </c>
    </row>
    <row r="13" spans="1:3">
      <c r="A13" t="s">
        <v>220</v>
      </c>
      <c r="B13" t="s">
        <v>219</v>
      </c>
      <c r="C13" t="s">
        <v>208</v>
      </c>
    </row>
    <row r="14" spans="1:3">
      <c r="A14" t="s">
        <v>102</v>
      </c>
      <c r="B14" t="s">
        <v>236</v>
      </c>
      <c r="C14" t="s">
        <v>271</v>
      </c>
    </row>
    <row r="15" spans="1:3">
      <c r="A15" t="s">
        <v>102</v>
      </c>
      <c r="B15" t="s">
        <v>227</v>
      </c>
      <c r="C15" t="s">
        <v>233</v>
      </c>
    </row>
    <row r="16" spans="1:3">
      <c r="A16" t="s">
        <v>102</v>
      </c>
      <c r="B16" t="s">
        <v>228</v>
      </c>
      <c r="C16" t="s">
        <v>234</v>
      </c>
    </row>
    <row r="17" spans="1:3">
      <c r="A17" t="s">
        <v>102</v>
      </c>
      <c r="B17" t="s">
        <v>229</v>
      </c>
      <c r="C17" t="s">
        <v>75</v>
      </c>
    </row>
    <row r="18" spans="1:3">
      <c r="A18" t="s">
        <v>102</v>
      </c>
      <c r="B18" t="s">
        <v>230</v>
      </c>
      <c r="C18" t="s">
        <v>3</v>
      </c>
    </row>
    <row r="19" spans="1:3">
      <c r="A19" t="s">
        <v>102</v>
      </c>
      <c r="B19" t="s">
        <v>231</v>
      </c>
      <c r="C19" t="s">
        <v>10</v>
      </c>
    </row>
    <row r="20" spans="1:3">
      <c r="A20" t="s">
        <v>102</v>
      </c>
      <c r="B20" t="s">
        <v>232</v>
      </c>
      <c r="C20" t="s">
        <v>4</v>
      </c>
    </row>
    <row r="21" spans="1:3">
      <c r="A21" t="s">
        <v>235</v>
      </c>
      <c r="B21" t="s">
        <v>236</v>
      </c>
      <c r="C21" t="s">
        <v>237</v>
      </c>
    </row>
    <row r="22" spans="1:3">
      <c r="A22" t="s">
        <v>235</v>
      </c>
      <c r="B22" t="s">
        <v>238</v>
      </c>
      <c r="C22" t="s">
        <v>239</v>
      </c>
    </row>
    <row r="23" spans="1:3">
      <c r="A23" t="s">
        <v>235</v>
      </c>
      <c r="B23" t="s">
        <v>240</v>
      </c>
      <c r="C23" t="s">
        <v>241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>
      <selection activeCell="A3" sqref="A3:G14"/>
    </sheetView>
  </sheetViews>
  <sheetFormatPr defaultRowHeight="14.25"/>
  <cols>
    <col min="4" max="4" width="10.86328125" bestFit="1" customWidth="1"/>
  </cols>
  <sheetData>
    <row r="1" spans="1:7">
      <c r="A1" t="s">
        <v>71</v>
      </c>
    </row>
    <row r="2" spans="1:7">
      <c r="A2" t="s">
        <v>44</v>
      </c>
      <c r="B2" t="s">
        <v>17</v>
      </c>
      <c r="C2" t="s">
        <v>72</v>
      </c>
      <c r="D2" t="s">
        <v>9</v>
      </c>
      <c r="E2" t="s">
        <v>0</v>
      </c>
      <c r="F2" t="s">
        <v>73</v>
      </c>
      <c r="G2" t="s">
        <v>74</v>
      </c>
    </row>
    <row r="3" spans="1:7">
      <c r="F3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4"/>
  <sheetViews>
    <sheetView zoomScaleNormal="100" workbookViewId="0">
      <selection activeCell="D5" sqref="D5"/>
    </sheetView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43</v>
      </c>
    </row>
    <row r="2" spans="1:4">
      <c r="A2" t="s">
        <v>44</v>
      </c>
      <c r="B2" s="1" t="s">
        <v>45</v>
      </c>
      <c r="C2" s="1" t="s">
        <v>46</v>
      </c>
      <c r="D2" s="1" t="s">
        <v>47</v>
      </c>
    </row>
    <row r="3" spans="1:4">
      <c r="A3" t="s">
        <v>143</v>
      </c>
      <c r="B3" t="s">
        <v>144</v>
      </c>
      <c r="C3" t="s">
        <v>16</v>
      </c>
      <c r="D3">
        <f>1/31.536</f>
        <v>3.1709791983764585E-2</v>
      </c>
    </row>
    <row r="4" spans="1:4">
      <c r="A4" t="s">
        <v>143</v>
      </c>
      <c r="B4" t="s">
        <v>270</v>
      </c>
      <c r="C4" t="s">
        <v>76</v>
      </c>
      <c r="D4">
        <v>-1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EF88C-142D-4FED-9F24-F330B8E1D481}">
  <dimension ref="A1:I120"/>
  <sheetViews>
    <sheetView workbookViewId="0"/>
  </sheetViews>
  <sheetFormatPr defaultRowHeight="14.25"/>
  <cols>
    <col min="1" max="1" width="11.9296875" bestFit="1" customWidth="1"/>
    <col min="2" max="2" width="46.59765625" customWidth="1"/>
    <col min="3" max="3" width="26.86328125" bestFit="1" customWidth="1"/>
    <col min="4" max="4" width="46.59765625" customWidth="1"/>
    <col min="5" max="5" width="15.06640625" bestFit="1" customWidth="1"/>
    <col min="6" max="6" width="7.73046875" bestFit="1" customWidth="1"/>
    <col min="9" max="9" width="46.59765625" customWidth="1"/>
  </cols>
  <sheetData>
    <row r="1" spans="1:9">
      <c r="A1" t="s">
        <v>145</v>
      </c>
    </row>
    <row r="2" spans="1:9">
      <c r="A2" t="s">
        <v>98</v>
      </c>
      <c r="B2" t="s">
        <v>99</v>
      </c>
      <c r="C2" t="s">
        <v>100</v>
      </c>
      <c r="D2" t="s">
        <v>242</v>
      </c>
      <c r="E2" t="s">
        <v>315</v>
      </c>
      <c r="F2" t="s">
        <v>316</v>
      </c>
      <c r="I2" t="s">
        <v>505</v>
      </c>
    </row>
    <row r="3" spans="1:9">
      <c r="A3" t="s">
        <v>317</v>
      </c>
      <c r="C3" t="s">
        <v>318</v>
      </c>
      <c r="D3" t="s">
        <v>319</v>
      </c>
      <c r="I3" t="s">
        <v>506</v>
      </c>
    </row>
    <row r="4" spans="1:9">
      <c r="A4" t="s">
        <v>317</v>
      </c>
      <c r="C4" t="s">
        <v>234</v>
      </c>
      <c r="D4" t="s">
        <v>320</v>
      </c>
      <c r="I4" t="s">
        <v>507</v>
      </c>
    </row>
    <row r="5" spans="1:9">
      <c r="A5" t="s">
        <v>317</v>
      </c>
      <c r="C5" t="s">
        <v>3</v>
      </c>
      <c r="D5" t="s">
        <v>321</v>
      </c>
      <c r="I5" t="s">
        <v>508</v>
      </c>
    </row>
    <row r="6" spans="1:9">
      <c r="A6" t="s">
        <v>317</v>
      </c>
      <c r="C6" t="s">
        <v>75</v>
      </c>
      <c r="D6" t="s">
        <v>322</v>
      </c>
      <c r="I6" t="s">
        <v>509</v>
      </c>
    </row>
    <row r="7" spans="1:9">
      <c r="A7" t="s">
        <v>317</v>
      </c>
      <c r="C7" t="s">
        <v>10</v>
      </c>
      <c r="D7" t="s">
        <v>323</v>
      </c>
      <c r="I7" t="s">
        <v>510</v>
      </c>
    </row>
    <row r="8" spans="1:9">
      <c r="A8" t="s">
        <v>317</v>
      </c>
      <c r="C8" t="s">
        <v>324</v>
      </c>
      <c r="D8" t="s">
        <v>325</v>
      </c>
      <c r="I8" t="s">
        <v>511</v>
      </c>
    </row>
    <row r="9" spans="1:9">
      <c r="A9" t="s">
        <v>317</v>
      </c>
      <c r="C9" t="s">
        <v>4</v>
      </c>
      <c r="D9" t="s">
        <v>326</v>
      </c>
      <c r="I9" t="s">
        <v>512</v>
      </c>
    </row>
    <row r="10" spans="1:9">
      <c r="A10" t="s">
        <v>327</v>
      </c>
      <c r="B10" t="s">
        <v>328</v>
      </c>
      <c r="C10" t="s">
        <v>329</v>
      </c>
      <c r="I10" t="s">
        <v>513</v>
      </c>
    </row>
    <row r="11" spans="1:9">
      <c r="A11" t="s">
        <v>327</v>
      </c>
      <c r="B11" t="s">
        <v>330</v>
      </c>
      <c r="C11" t="s">
        <v>331</v>
      </c>
      <c r="I11" t="s">
        <v>514</v>
      </c>
    </row>
    <row r="12" spans="1:9">
      <c r="A12" t="s">
        <v>327</v>
      </c>
      <c r="B12" t="s">
        <v>332</v>
      </c>
      <c r="C12" t="s">
        <v>333</v>
      </c>
      <c r="I12" t="s">
        <v>515</v>
      </c>
    </row>
    <row r="13" spans="1:9">
      <c r="A13" t="s">
        <v>327</v>
      </c>
      <c r="B13" t="s">
        <v>334</v>
      </c>
      <c r="C13" t="s">
        <v>335</v>
      </c>
      <c r="I13" t="s">
        <v>516</v>
      </c>
    </row>
    <row r="14" spans="1:9">
      <c r="A14" t="s">
        <v>336</v>
      </c>
      <c r="C14" t="s">
        <v>337</v>
      </c>
      <c r="D14" t="s">
        <v>338</v>
      </c>
      <c r="F14" t="s">
        <v>339</v>
      </c>
      <c r="I14" t="s">
        <v>517</v>
      </c>
    </row>
    <row r="15" spans="1:9">
      <c r="A15" t="s">
        <v>336</v>
      </c>
      <c r="C15" t="s">
        <v>340</v>
      </c>
      <c r="D15" t="s">
        <v>338</v>
      </c>
      <c r="F15" t="s">
        <v>341</v>
      </c>
      <c r="I15" t="s">
        <v>518</v>
      </c>
    </row>
    <row r="16" spans="1:9">
      <c r="A16" t="s">
        <v>336</v>
      </c>
      <c r="C16" t="s">
        <v>342</v>
      </c>
      <c r="D16" t="s">
        <v>338</v>
      </c>
      <c r="F16" t="s">
        <v>343</v>
      </c>
      <c r="I16" t="s">
        <v>519</v>
      </c>
    </row>
    <row r="17" spans="1:9">
      <c r="A17" t="s">
        <v>336</v>
      </c>
      <c r="B17" t="s">
        <v>344</v>
      </c>
      <c r="C17" t="s">
        <v>345</v>
      </c>
      <c r="I17" t="s">
        <v>520</v>
      </c>
    </row>
    <row r="18" spans="1:9">
      <c r="A18" t="s">
        <v>336</v>
      </c>
      <c r="C18" t="s">
        <v>346</v>
      </c>
      <c r="D18" t="s">
        <v>347</v>
      </c>
      <c r="I18" t="s">
        <v>521</v>
      </c>
    </row>
    <row r="19" spans="1:9">
      <c r="A19" t="s">
        <v>336</v>
      </c>
      <c r="C19" t="s">
        <v>348</v>
      </c>
      <c r="D19" t="s">
        <v>349</v>
      </c>
      <c r="I19" t="s">
        <v>522</v>
      </c>
    </row>
    <row r="20" spans="1:9">
      <c r="A20" t="s">
        <v>336</v>
      </c>
      <c r="C20" t="s">
        <v>350</v>
      </c>
      <c r="D20" t="s">
        <v>351</v>
      </c>
      <c r="I20" t="s">
        <v>523</v>
      </c>
    </row>
    <row r="21" spans="1:9">
      <c r="A21" t="s">
        <v>336</v>
      </c>
      <c r="C21" t="s">
        <v>352</v>
      </c>
      <c r="D21" t="s">
        <v>353</v>
      </c>
    </row>
    <row r="22" spans="1:9">
      <c r="A22" t="s">
        <v>336</v>
      </c>
      <c r="C22" t="s">
        <v>354</v>
      </c>
      <c r="D22" t="s">
        <v>355</v>
      </c>
    </row>
    <row r="23" spans="1:9">
      <c r="A23" t="s">
        <v>336</v>
      </c>
      <c r="C23" t="s">
        <v>356</v>
      </c>
      <c r="D23" t="s">
        <v>357</v>
      </c>
    </row>
    <row r="24" spans="1:9">
      <c r="A24" t="s">
        <v>336</v>
      </c>
      <c r="C24" t="s">
        <v>358</v>
      </c>
      <c r="D24" t="s">
        <v>359</v>
      </c>
    </row>
    <row r="25" spans="1:9">
      <c r="A25" t="s">
        <v>336</v>
      </c>
      <c r="C25" t="s">
        <v>360</v>
      </c>
      <c r="D25" t="s">
        <v>361</v>
      </c>
    </row>
    <row r="26" spans="1:9">
      <c r="A26" t="s">
        <v>336</v>
      </c>
      <c r="C26" t="s">
        <v>362</v>
      </c>
      <c r="D26" t="s">
        <v>363</v>
      </c>
    </row>
    <row r="27" spans="1:9">
      <c r="A27" t="s">
        <v>336</v>
      </c>
      <c r="C27" t="s">
        <v>364</v>
      </c>
      <c r="D27" t="s">
        <v>365</v>
      </c>
    </row>
    <row r="28" spans="1:9">
      <c r="A28" t="s">
        <v>336</v>
      </c>
      <c r="C28" t="s">
        <v>366</v>
      </c>
      <c r="D28" t="s">
        <v>367</v>
      </c>
    </row>
    <row r="29" spans="1:9">
      <c r="A29" t="s">
        <v>336</v>
      </c>
      <c r="C29" t="s">
        <v>368</v>
      </c>
      <c r="D29" t="s">
        <v>369</v>
      </c>
    </row>
    <row r="30" spans="1:9">
      <c r="A30" t="s">
        <v>336</v>
      </c>
      <c r="C30" t="s">
        <v>346</v>
      </c>
      <c r="D30" t="s">
        <v>370</v>
      </c>
    </row>
    <row r="31" spans="1:9">
      <c r="A31" t="s">
        <v>336</v>
      </c>
      <c r="C31" t="s">
        <v>350</v>
      </c>
      <c r="D31" t="s">
        <v>371</v>
      </c>
    </row>
    <row r="32" spans="1:9">
      <c r="A32" t="s">
        <v>336</v>
      </c>
      <c r="C32" t="s">
        <v>360</v>
      </c>
      <c r="D32" t="s">
        <v>372</v>
      </c>
    </row>
    <row r="33" spans="1:4">
      <c r="A33" t="s">
        <v>336</v>
      </c>
      <c r="C33" t="s">
        <v>352</v>
      </c>
      <c r="D33" t="s">
        <v>373</v>
      </c>
    </row>
    <row r="34" spans="1:4">
      <c r="A34" t="s">
        <v>336</v>
      </c>
      <c r="C34" t="s">
        <v>374</v>
      </c>
      <c r="D34" t="s">
        <v>375</v>
      </c>
    </row>
    <row r="35" spans="1:4">
      <c r="A35" t="s">
        <v>336</v>
      </c>
      <c r="C35" t="s">
        <v>376</v>
      </c>
      <c r="D35" t="s">
        <v>377</v>
      </c>
    </row>
    <row r="36" spans="1:4">
      <c r="A36" t="s">
        <v>378</v>
      </c>
      <c r="B36" t="s">
        <v>379</v>
      </c>
      <c r="C36" t="s">
        <v>380</v>
      </c>
    </row>
    <row r="37" spans="1:4">
      <c r="A37" t="s">
        <v>378</v>
      </c>
      <c r="B37" t="s">
        <v>381</v>
      </c>
      <c r="C37" t="s">
        <v>380</v>
      </c>
    </row>
    <row r="38" spans="1:4">
      <c r="A38" t="s">
        <v>378</v>
      </c>
      <c r="B38" t="s">
        <v>382</v>
      </c>
      <c r="C38" t="s">
        <v>383</v>
      </c>
    </row>
    <row r="39" spans="1:4">
      <c r="A39" t="s">
        <v>378</v>
      </c>
      <c r="B39" t="s">
        <v>384</v>
      </c>
      <c r="C39" t="s">
        <v>383</v>
      </c>
    </row>
    <row r="40" spans="1:4">
      <c r="A40" t="s">
        <v>378</v>
      </c>
      <c r="B40" t="s">
        <v>385</v>
      </c>
      <c r="C40" t="s">
        <v>383</v>
      </c>
    </row>
    <row r="41" spans="1:4">
      <c r="A41" t="s">
        <v>378</v>
      </c>
      <c r="B41" t="s">
        <v>386</v>
      </c>
      <c r="C41" t="s">
        <v>366</v>
      </c>
    </row>
    <row r="42" spans="1:4">
      <c r="A42" t="s">
        <v>387</v>
      </c>
      <c r="B42" t="s">
        <v>388</v>
      </c>
      <c r="C42" t="s">
        <v>389</v>
      </c>
    </row>
    <row r="43" spans="1:4">
      <c r="A43" t="s">
        <v>387</v>
      </c>
      <c r="B43" t="s">
        <v>390</v>
      </c>
      <c r="C43" t="s">
        <v>391</v>
      </c>
    </row>
    <row r="44" spans="1:4">
      <c r="A44" t="s">
        <v>387</v>
      </c>
      <c r="B44" t="s">
        <v>392</v>
      </c>
      <c r="C44" t="s">
        <v>393</v>
      </c>
    </row>
    <row r="45" spans="1:4">
      <c r="A45" t="s">
        <v>387</v>
      </c>
      <c r="B45" t="s">
        <v>394</v>
      </c>
      <c r="C45" t="s">
        <v>395</v>
      </c>
    </row>
    <row r="46" spans="1:4">
      <c r="A46" t="s">
        <v>387</v>
      </c>
      <c r="B46" t="s">
        <v>396</v>
      </c>
      <c r="C46" t="s">
        <v>397</v>
      </c>
    </row>
    <row r="47" spans="1:4">
      <c r="A47" t="s">
        <v>387</v>
      </c>
      <c r="B47" t="s">
        <v>398</v>
      </c>
      <c r="C47" t="s">
        <v>399</v>
      </c>
    </row>
    <row r="48" spans="1:4">
      <c r="A48" t="s">
        <v>387</v>
      </c>
      <c r="B48" t="s">
        <v>400</v>
      </c>
      <c r="C48" t="s">
        <v>401</v>
      </c>
    </row>
    <row r="49" spans="1:5">
      <c r="A49" t="s">
        <v>387</v>
      </c>
      <c r="B49" t="s">
        <v>402</v>
      </c>
      <c r="C49" t="s">
        <v>403</v>
      </c>
    </row>
    <row r="50" spans="1:5">
      <c r="A50" t="s">
        <v>387</v>
      </c>
      <c r="B50" t="s">
        <v>404</v>
      </c>
      <c r="C50" t="s">
        <v>405</v>
      </c>
    </row>
    <row r="51" spans="1:5">
      <c r="A51" t="s">
        <v>387</v>
      </c>
      <c r="B51" t="s">
        <v>406</v>
      </c>
      <c r="C51" t="s">
        <v>346</v>
      </c>
    </row>
    <row r="52" spans="1:5">
      <c r="A52" t="s">
        <v>387</v>
      </c>
      <c r="B52" t="s">
        <v>407</v>
      </c>
      <c r="C52" t="s">
        <v>348</v>
      </c>
    </row>
    <row r="53" spans="1:5">
      <c r="A53" t="s">
        <v>387</v>
      </c>
      <c r="B53" t="s">
        <v>328</v>
      </c>
      <c r="C53" t="s">
        <v>408</v>
      </c>
    </row>
    <row r="54" spans="1:5">
      <c r="A54" t="s">
        <v>387</v>
      </c>
      <c r="C54" t="s">
        <v>409</v>
      </c>
      <c r="E54" t="s">
        <v>410</v>
      </c>
    </row>
    <row r="55" spans="1:5">
      <c r="A55" t="s">
        <v>411</v>
      </c>
      <c r="B55" t="s">
        <v>412</v>
      </c>
      <c r="C55" t="s">
        <v>413</v>
      </c>
    </row>
    <row r="56" spans="1:5">
      <c r="A56" t="s">
        <v>411</v>
      </c>
      <c r="B56" t="s">
        <v>414</v>
      </c>
      <c r="C56" t="s">
        <v>415</v>
      </c>
    </row>
    <row r="57" spans="1:5">
      <c r="A57" t="s">
        <v>411</v>
      </c>
      <c r="B57" t="s">
        <v>416</v>
      </c>
      <c r="C57" t="s">
        <v>417</v>
      </c>
    </row>
    <row r="58" spans="1:5">
      <c r="A58" t="s">
        <v>411</v>
      </c>
      <c r="B58" t="s">
        <v>418</v>
      </c>
      <c r="C58" t="s">
        <v>419</v>
      </c>
    </row>
    <row r="59" spans="1:5">
      <c r="A59" t="s">
        <v>411</v>
      </c>
      <c r="B59" t="s">
        <v>420</v>
      </c>
      <c r="C59" t="s">
        <v>55</v>
      </c>
    </row>
    <row r="60" spans="1:5">
      <c r="A60" t="s">
        <v>411</v>
      </c>
      <c r="B60" t="s">
        <v>421</v>
      </c>
      <c r="C60" t="s">
        <v>422</v>
      </c>
    </row>
    <row r="61" spans="1:5">
      <c r="A61" t="s">
        <v>411</v>
      </c>
      <c r="B61" t="s">
        <v>423</v>
      </c>
      <c r="C61" t="s">
        <v>424</v>
      </c>
    </row>
    <row r="62" spans="1:5">
      <c r="A62" t="s">
        <v>411</v>
      </c>
      <c r="B62" t="s">
        <v>425</v>
      </c>
      <c r="C62" t="s">
        <v>426</v>
      </c>
    </row>
    <row r="63" spans="1:5">
      <c r="A63" t="s">
        <v>411</v>
      </c>
      <c r="B63" t="s">
        <v>427</v>
      </c>
      <c r="C63" t="s">
        <v>428</v>
      </c>
    </row>
    <row r="64" spans="1:5">
      <c r="A64" t="s">
        <v>411</v>
      </c>
      <c r="B64" t="s">
        <v>429</v>
      </c>
      <c r="C64" t="s">
        <v>430</v>
      </c>
    </row>
    <row r="65" spans="1:4">
      <c r="A65" t="s">
        <v>411</v>
      </c>
      <c r="B65" t="s">
        <v>431</v>
      </c>
      <c r="C65" t="s">
        <v>432</v>
      </c>
    </row>
    <row r="66" spans="1:4">
      <c r="A66" t="s">
        <v>411</v>
      </c>
      <c r="B66" t="s">
        <v>433</v>
      </c>
      <c r="C66" t="s">
        <v>55</v>
      </c>
    </row>
    <row r="67" spans="1:4">
      <c r="A67" t="s">
        <v>411</v>
      </c>
      <c r="B67" t="s">
        <v>434</v>
      </c>
      <c r="C67" t="s">
        <v>422</v>
      </c>
    </row>
    <row r="68" spans="1:4">
      <c r="A68" t="s">
        <v>411</v>
      </c>
      <c r="B68" t="s">
        <v>435</v>
      </c>
      <c r="C68" t="s">
        <v>424</v>
      </c>
    </row>
    <row r="69" spans="1:4">
      <c r="A69" t="s">
        <v>436</v>
      </c>
      <c r="C69" t="s">
        <v>437</v>
      </c>
      <c r="D69" t="s">
        <v>438</v>
      </c>
    </row>
    <row r="70" spans="1:4">
      <c r="A70" t="s">
        <v>436</v>
      </c>
      <c r="C70" t="s">
        <v>439</v>
      </c>
      <c r="D70" t="s">
        <v>440</v>
      </c>
    </row>
    <row r="71" spans="1:4">
      <c r="A71" t="s">
        <v>436</v>
      </c>
      <c r="C71" t="s">
        <v>441</v>
      </c>
      <c r="D71" t="s">
        <v>442</v>
      </c>
    </row>
    <row r="72" spans="1:4">
      <c r="A72" t="s">
        <v>436</v>
      </c>
      <c r="C72" t="s">
        <v>443</v>
      </c>
      <c r="D72" t="s">
        <v>444</v>
      </c>
    </row>
    <row r="73" spans="1:4">
      <c r="A73" t="s">
        <v>436</v>
      </c>
      <c r="C73" t="s">
        <v>445</v>
      </c>
      <c r="D73" t="s">
        <v>446</v>
      </c>
    </row>
    <row r="74" spans="1:4">
      <c r="A74" t="s">
        <v>436</v>
      </c>
      <c r="C74" t="s">
        <v>447</v>
      </c>
      <c r="D74" t="s">
        <v>448</v>
      </c>
    </row>
    <row r="75" spans="1:4">
      <c r="A75" t="s">
        <v>449</v>
      </c>
      <c r="C75" t="s">
        <v>450</v>
      </c>
      <c r="D75" t="s">
        <v>110</v>
      </c>
    </row>
    <row r="76" spans="1:4">
      <c r="A76" t="s">
        <v>449</v>
      </c>
      <c r="C76" t="s">
        <v>451</v>
      </c>
      <c r="D76" t="s">
        <v>111</v>
      </c>
    </row>
    <row r="77" spans="1:4">
      <c r="A77" t="s">
        <v>449</v>
      </c>
      <c r="C77" t="s">
        <v>452</v>
      </c>
      <c r="D77" t="s">
        <v>112</v>
      </c>
    </row>
    <row r="78" spans="1:4">
      <c r="A78" t="s">
        <v>449</v>
      </c>
      <c r="C78" t="s">
        <v>453</v>
      </c>
      <c r="D78" t="s">
        <v>113</v>
      </c>
    </row>
    <row r="79" spans="1:4">
      <c r="A79" t="s">
        <v>449</v>
      </c>
      <c r="C79" t="s">
        <v>454</v>
      </c>
      <c r="D79" t="s">
        <v>114</v>
      </c>
    </row>
    <row r="80" spans="1:4">
      <c r="A80" t="s">
        <v>449</v>
      </c>
      <c r="C80" t="s">
        <v>455</v>
      </c>
      <c r="D80" t="s">
        <v>115</v>
      </c>
    </row>
    <row r="81" spans="1:4">
      <c r="A81" t="s">
        <v>449</v>
      </c>
      <c r="C81" t="s">
        <v>456</v>
      </c>
      <c r="D81" t="s">
        <v>116</v>
      </c>
    </row>
    <row r="82" spans="1:4">
      <c r="A82" t="s">
        <v>449</v>
      </c>
      <c r="C82" t="s">
        <v>457</v>
      </c>
      <c r="D82" t="s">
        <v>117</v>
      </c>
    </row>
    <row r="83" spans="1:4">
      <c r="A83" t="s">
        <v>449</v>
      </c>
      <c r="C83" t="s">
        <v>458</v>
      </c>
      <c r="D83" t="s">
        <v>118</v>
      </c>
    </row>
    <row r="84" spans="1:4">
      <c r="A84" t="s">
        <v>449</v>
      </c>
      <c r="C84" t="s">
        <v>136</v>
      </c>
      <c r="D84" t="s">
        <v>119</v>
      </c>
    </row>
    <row r="85" spans="1:4">
      <c r="A85" t="s">
        <v>449</v>
      </c>
      <c r="C85" t="s">
        <v>5</v>
      </c>
      <c r="D85" t="s">
        <v>120</v>
      </c>
    </row>
    <row r="86" spans="1:4">
      <c r="A86" t="s">
        <v>449</v>
      </c>
      <c r="C86" t="s">
        <v>459</v>
      </c>
      <c r="D86" t="s">
        <v>121</v>
      </c>
    </row>
    <row r="87" spans="1:4">
      <c r="A87" t="s">
        <v>449</v>
      </c>
      <c r="C87" t="s">
        <v>6</v>
      </c>
      <c r="D87" t="s">
        <v>122</v>
      </c>
    </row>
    <row r="88" spans="1:4">
      <c r="A88" t="s">
        <v>449</v>
      </c>
      <c r="C88" t="s">
        <v>7</v>
      </c>
      <c r="D88" t="s">
        <v>123</v>
      </c>
    </row>
    <row r="89" spans="1:4">
      <c r="A89" t="s">
        <v>449</v>
      </c>
      <c r="C89" t="s">
        <v>138</v>
      </c>
      <c r="D89" t="s">
        <v>124</v>
      </c>
    </row>
    <row r="90" spans="1:4">
      <c r="A90" t="s">
        <v>449</v>
      </c>
      <c r="C90" t="s">
        <v>139</v>
      </c>
      <c r="D90" t="s">
        <v>125</v>
      </c>
    </row>
    <row r="91" spans="1:4">
      <c r="A91" t="s">
        <v>449</v>
      </c>
      <c r="C91" t="s">
        <v>140</v>
      </c>
      <c r="D91" t="s">
        <v>126</v>
      </c>
    </row>
    <row r="92" spans="1:4">
      <c r="A92" t="s">
        <v>449</v>
      </c>
      <c r="C92" t="s">
        <v>460</v>
      </c>
      <c r="D92" t="s">
        <v>243</v>
      </c>
    </row>
    <row r="93" spans="1:4">
      <c r="A93" t="s">
        <v>449</v>
      </c>
      <c r="C93" t="s">
        <v>247</v>
      </c>
      <c r="D93" t="s">
        <v>244</v>
      </c>
    </row>
    <row r="94" spans="1:4">
      <c r="A94" t="s">
        <v>449</v>
      </c>
      <c r="C94" t="s">
        <v>461</v>
      </c>
      <c r="D94" t="s">
        <v>245</v>
      </c>
    </row>
    <row r="95" spans="1:4">
      <c r="A95" t="s">
        <v>462</v>
      </c>
      <c r="C95" t="s">
        <v>463</v>
      </c>
      <c r="D95" t="s">
        <v>464</v>
      </c>
    </row>
    <row r="96" spans="1:4">
      <c r="A96" t="s">
        <v>462</v>
      </c>
      <c r="C96" t="s">
        <v>465</v>
      </c>
      <c r="D96" t="s">
        <v>466</v>
      </c>
    </row>
    <row r="97" spans="1:4">
      <c r="A97" t="s">
        <v>462</v>
      </c>
      <c r="C97" t="s">
        <v>467</v>
      </c>
      <c r="D97" t="s">
        <v>468</v>
      </c>
    </row>
    <row r="98" spans="1:4">
      <c r="A98" t="s">
        <v>462</v>
      </c>
      <c r="C98" t="s">
        <v>469</v>
      </c>
      <c r="D98" t="s">
        <v>470</v>
      </c>
    </row>
    <row r="99" spans="1:4">
      <c r="A99" t="s">
        <v>462</v>
      </c>
      <c r="C99" t="s">
        <v>471</v>
      </c>
      <c r="D99" t="s">
        <v>472</v>
      </c>
    </row>
    <row r="100" spans="1:4">
      <c r="A100" t="s">
        <v>462</v>
      </c>
      <c r="C100" t="s">
        <v>473</v>
      </c>
      <c r="D100" t="s">
        <v>474</v>
      </c>
    </row>
    <row r="101" spans="1:4">
      <c r="A101" t="s">
        <v>462</v>
      </c>
      <c r="C101" t="s">
        <v>475</v>
      </c>
      <c r="D101" t="s">
        <v>476</v>
      </c>
    </row>
    <row r="102" spans="1:4">
      <c r="A102" t="s">
        <v>462</v>
      </c>
      <c r="C102" t="s">
        <v>477</v>
      </c>
      <c r="D102" t="s">
        <v>478</v>
      </c>
    </row>
    <row r="103" spans="1:4">
      <c r="A103" t="s">
        <v>462</v>
      </c>
      <c r="C103" t="s">
        <v>479</v>
      </c>
      <c r="D103" t="s">
        <v>480</v>
      </c>
    </row>
    <row r="104" spans="1:4">
      <c r="A104" t="s">
        <v>462</v>
      </c>
      <c r="C104" t="s">
        <v>481</v>
      </c>
      <c r="D104" t="s">
        <v>482</v>
      </c>
    </row>
    <row r="105" spans="1:4">
      <c r="A105" t="s">
        <v>483</v>
      </c>
      <c r="C105" t="s">
        <v>484</v>
      </c>
      <c r="D105" t="s">
        <v>290</v>
      </c>
    </row>
    <row r="106" spans="1:4">
      <c r="A106" t="s">
        <v>483</v>
      </c>
      <c r="C106" t="s">
        <v>485</v>
      </c>
      <c r="D106" t="s">
        <v>292</v>
      </c>
    </row>
    <row r="107" spans="1:4">
      <c r="A107" t="s">
        <v>483</v>
      </c>
      <c r="C107" t="s">
        <v>486</v>
      </c>
      <c r="D107" t="s">
        <v>291</v>
      </c>
    </row>
    <row r="108" spans="1:4">
      <c r="A108" t="s">
        <v>483</v>
      </c>
      <c r="C108" t="s">
        <v>487</v>
      </c>
      <c r="D108" t="s">
        <v>293</v>
      </c>
    </row>
    <row r="109" spans="1:4">
      <c r="A109" t="s">
        <v>483</v>
      </c>
      <c r="C109" t="s">
        <v>488</v>
      </c>
      <c r="D109" t="s">
        <v>294</v>
      </c>
    </row>
    <row r="110" spans="1:4">
      <c r="A110" t="s">
        <v>483</v>
      </c>
      <c r="C110" t="s">
        <v>489</v>
      </c>
      <c r="D110" t="s">
        <v>295</v>
      </c>
    </row>
    <row r="111" spans="1:4">
      <c r="A111" t="s">
        <v>483</v>
      </c>
      <c r="C111" t="s">
        <v>490</v>
      </c>
      <c r="D111" t="s">
        <v>296</v>
      </c>
    </row>
    <row r="112" spans="1:4">
      <c r="A112" t="s">
        <v>483</v>
      </c>
      <c r="C112" t="s">
        <v>491</v>
      </c>
      <c r="D112" t="s">
        <v>297</v>
      </c>
    </row>
    <row r="113" spans="1:4">
      <c r="A113" t="s">
        <v>483</v>
      </c>
      <c r="C113" t="s">
        <v>492</v>
      </c>
      <c r="D113" t="s">
        <v>298</v>
      </c>
    </row>
    <row r="114" spans="1:4">
      <c r="A114" t="s">
        <v>483</v>
      </c>
      <c r="C114" t="s">
        <v>493</v>
      </c>
      <c r="D114" t="s">
        <v>299</v>
      </c>
    </row>
    <row r="115" spans="1:4">
      <c r="A115" t="s">
        <v>483</v>
      </c>
      <c r="C115" t="s">
        <v>494</v>
      </c>
      <c r="D115" t="s">
        <v>300</v>
      </c>
    </row>
    <row r="116" spans="1:4">
      <c r="A116" t="s">
        <v>483</v>
      </c>
      <c r="C116" t="s">
        <v>495</v>
      </c>
      <c r="D116" t="s">
        <v>496</v>
      </c>
    </row>
    <row r="117" spans="1:4">
      <c r="A117" t="s">
        <v>483</v>
      </c>
      <c r="C117" t="s">
        <v>497</v>
      </c>
      <c r="D117" t="s">
        <v>498</v>
      </c>
    </row>
    <row r="118" spans="1:4">
      <c r="A118" t="s">
        <v>483</v>
      </c>
      <c r="C118" t="s">
        <v>499</v>
      </c>
      <c r="D118" t="s">
        <v>500</v>
      </c>
    </row>
    <row r="119" spans="1:4">
      <c r="A119" t="s">
        <v>483</v>
      </c>
      <c r="C119" t="s">
        <v>501</v>
      </c>
      <c r="D119" t="s">
        <v>502</v>
      </c>
    </row>
    <row r="120" spans="1:4">
      <c r="A120" t="s">
        <v>483</v>
      </c>
      <c r="C120" t="s">
        <v>503</v>
      </c>
      <c r="D120" t="s">
        <v>504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72221-6A29-442D-B142-60E1C144627A}">
  <dimension ref="A1:G36"/>
  <sheetViews>
    <sheetView workbookViewId="0"/>
  </sheetViews>
  <sheetFormatPr defaultRowHeight="14.25"/>
  <cols>
    <col min="1" max="1" width="15" bestFit="1" customWidth="1"/>
    <col min="2" max="2" width="46.59765625" customWidth="1"/>
    <col min="3" max="3" width="21.265625" bestFit="1" customWidth="1"/>
    <col min="4" max="4" width="7.1328125" bestFit="1" customWidth="1"/>
    <col min="7" max="7" width="46.59765625" customWidth="1"/>
  </cols>
  <sheetData>
    <row r="1" spans="1:7">
      <c r="A1" t="s">
        <v>221</v>
      </c>
    </row>
    <row r="2" spans="1:7">
      <c r="A2" t="s">
        <v>98</v>
      </c>
      <c r="B2" t="s">
        <v>99</v>
      </c>
      <c r="C2" t="s">
        <v>100</v>
      </c>
      <c r="D2" t="s">
        <v>524</v>
      </c>
      <c r="G2" t="s">
        <v>603</v>
      </c>
    </row>
    <row r="3" spans="1:7">
      <c r="A3" t="s">
        <v>220</v>
      </c>
      <c r="B3" t="s">
        <v>525</v>
      </c>
      <c r="C3" t="s">
        <v>101</v>
      </c>
      <c r="G3" t="s">
        <v>571</v>
      </c>
    </row>
    <row r="4" spans="1:7">
      <c r="A4" t="s">
        <v>220</v>
      </c>
      <c r="B4" t="s">
        <v>526</v>
      </c>
      <c r="C4" t="s">
        <v>527</v>
      </c>
      <c r="G4" t="s">
        <v>572</v>
      </c>
    </row>
    <row r="5" spans="1:7">
      <c r="A5" t="s">
        <v>220</v>
      </c>
      <c r="B5" t="s">
        <v>528</v>
      </c>
      <c r="C5" t="s">
        <v>206</v>
      </c>
      <c r="G5" t="s">
        <v>573</v>
      </c>
    </row>
    <row r="6" spans="1:7">
      <c r="A6" t="s">
        <v>220</v>
      </c>
      <c r="B6" t="s">
        <v>529</v>
      </c>
      <c r="C6" t="s">
        <v>203</v>
      </c>
      <c r="G6" t="s">
        <v>574</v>
      </c>
    </row>
    <row r="7" spans="1:7">
      <c r="A7" t="s">
        <v>220</v>
      </c>
      <c r="B7" t="s">
        <v>530</v>
      </c>
      <c r="C7" t="s">
        <v>205</v>
      </c>
      <c r="G7" t="s">
        <v>575</v>
      </c>
    </row>
    <row r="8" spans="1:7">
      <c r="A8" t="s">
        <v>220</v>
      </c>
      <c r="B8" t="s">
        <v>531</v>
      </c>
      <c r="C8" t="s">
        <v>532</v>
      </c>
      <c r="G8" t="s">
        <v>576</v>
      </c>
    </row>
    <row r="9" spans="1:7">
      <c r="A9" t="s">
        <v>220</v>
      </c>
      <c r="B9" t="s">
        <v>533</v>
      </c>
      <c r="C9" t="s">
        <v>534</v>
      </c>
      <c r="G9" t="s">
        <v>577</v>
      </c>
    </row>
    <row r="10" spans="1:7">
      <c r="A10" t="s">
        <v>220</v>
      </c>
      <c r="B10" t="s">
        <v>535</v>
      </c>
      <c r="C10" t="s">
        <v>453</v>
      </c>
      <c r="G10" t="s">
        <v>578</v>
      </c>
    </row>
    <row r="11" spans="1:7">
      <c r="A11" t="s">
        <v>220</v>
      </c>
      <c r="B11" t="s">
        <v>536</v>
      </c>
      <c r="C11" t="s">
        <v>537</v>
      </c>
      <c r="G11" t="s">
        <v>579</v>
      </c>
    </row>
    <row r="12" spans="1:7">
      <c r="A12" t="s">
        <v>220</v>
      </c>
      <c r="B12" t="s">
        <v>538</v>
      </c>
      <c r="C12" t="s">
        <v>455</v>
      </c>
      <c r="G12" t="s">
        <v>580</v>
      </c>
    </row>
    <row r="13" spans="1:7">
      <c r="A13" t="s">
        <v>220</v>
      </c>
      <c r="B13" t="s">
        <v>539</v>
      </c>
      <c r="C13" t="s">
        <v>540</v>
      </c>
      <c r="G13" t="s">
        <v>581</v>
      </c>
    </row>
    <row r="14" spans="1:7">
      <c r="A14" t="s">
        <v>220</v>
      </c>
      <c r="B14" t="s">
        <v>541</v>
      </c>
      <c r="C14" t="s">
        <v>399</v>
      </c>
      <c r="G14" t="s">
        <v>582</v>
      </c>
    </row>
    <row r="15" spans="1:7">
      <c r="A15" t="s">
        <v>220</v>
      </c>
      <c r="B15" t="s">
        <v>542</v>
      </c>
      <c r="C15" t="s">
        <v>403</v>
      </c>
    </row>
    <row r="16" spans="1:7">
      <c r="A16" t="s">
        <v>220</v>
      </c>
      <c r="B16" t="s">
        <v>543</v>
      </c>
      <c r="C16" t="s">
        <v>405</v>
      </c>
    </row>
    <row r="17" spans="1:4">
      <c r="A17" t="s">
        <v>220</v>
      </c>
      <c r="B17" t="s">
        <v>544</v>
      </c>
      <c r="C17" t="s">
        <v>545</v>
      </c>
    </row>
    <row r="18" spans="1:4">
      <c r="A18" t="s">
        <v>220</v>
      </c>
      <c r="B18" t="s">
        <v>546</v>
      </c>
      <c r="C18" t="s">
        <v>547</v>
      </c>
    </row>
    <row r="19" spans="1:4">
      <c r="A19" t="s">
        <v>220</v>
      </c>
      <c r="B19" t="s">
        <v>548</v>
      </c>
      <c r="C19" t="s">
        <v>549</v>
      </c>
    </row>
    <row r="20" spans="1:4">
      <c r="A20" t="s">
        <v>220</v>
      </c>
      <c r="B20" t="s">
        <v>550</v>
      </c>
      <c r="C20" t="s">
        <v>551</v>
      </c>
    </row>
    <row r="21" spans="1:4">
      <c r="A21" t="s">
        <v>220</v>
      </c>
      <c r="B21" t="s">
        <v>552</v>
      </c>
      <c r="C21" t="s">
        <v>401</v>
      </c>
    </row>
    <row r="22" spans="1:4">
      <c r="A22" t="s">
        <v>220</v>
      </c>
      <c r="B22" t="s">
        <v>553</v>
      </c>
      <c r="C22" t="s">
        <v>136</v>
      </c>
    </row>
    <row r="23" spans="1:4">
      <c r="A23" t="s">
        <v>554</v>
      </c>
      <c r="B23" t="s">
        <v>555</v>
      </c>
      <c r="C23" t="s">
        <v>453</v>
      </c>
    </row>
    <row r="24" spans="1:4">
      <c r="A24" t="s">
        <v>554</v>
      </c>
      <c r="B24" t="s">
        <v>538</v>
      </c>
      <c r="C24" t="s">
        <v>455</v>
      </c>
    </row>
    <row r="25" spans="1:4">
      <c r="A25" t="s">
        <v>554</v>
      </c>
      <c r="B25" t="s">
        <v>556</v>
      </c>
      <c r="C25" t="s">
        <v>6</v>
      </c>
    </row>
    <row r="26" spans="1:4">
      <c r="A26" t="s">
        <v>554</v>
      </c>
      <c r="B26" t="s">
        <v>557</v>
      </c>
      <c r="C26" t="s">
        <v>527</v>
      </c>
    </row>
    <row r="27" spans="1:4">
      <c r="A27" t="s">
        <v>554</v>
      </c>
      <c r="B27" t="s">
        <v>525</v>
      </c>
      <c r="C27" t="s">
        <v>101</v>
      </c>
    </row>
    <row r="28" spans="1:4">
      <c r="A28" t="s">
        <v>554</v>
      </c>
      <c r="B28" t="s">
        <v>543</v>
      </c>
      <c r="C28" t="s">
        <v>558</v>
      </c>
    </row>
    <row r="29" spans="1:4">
      <c r="A29" t="s">
        <v>554</v>
      </c>
      <c r="B29" t="s">
        <v>559</v>
      </c>
      <c r="C29" t="s">
        <v>560</v>
      </c>
    </row>
    <row r="30" spans="1:4">
      <c r="A30" t="s">
        <v>554</v>
      </c>
      <c r="B30" t="s">
        <v>561</v>
      </c>
      <c r="C30" t="s">
        <v>562</v>
      </c>
    </row>
    <row r="31" spans="1:4">
      <c r="A31" t="s">
        <v>554</v>
      </c>
      <c r="B31" t="s">
        <v>553</v>
      </c>
      <c r="C31" t="s">
        <v>136</v>
      </c>
    </row>
    <row r="32" spans="1:4">
      <c r="A32" t="s">
        <v>563</v>
      </c>
      <c r="C32" t="s">
        <v>564</v>
      </c>
      <c r="D32" t="s">
        <v>38</v>
      </c>
    </row>
    <row r="33" spans="1:4">
      <c r="A33" t="s">
        <v>563</v>
      </c>
      <c r="C33" t="s">
        <v>565</v>
      </c>
      <c r="D33" t="s">
        <v>107</v>
      </c>
    </row>
    <row r="34" spans="1:4">
      <c r="A34" t="s">
        <v>563</v>
      </c>
      <c r="C34" t="s">
        <v>566</v>
      </c>
      <c r="D34" t="s">
        <v>567</v>
      </c>
    </row>
    <row r="35" spans="1:4">
      <c r="A35" t="s">
        <v>563</v>
      </c>
      <c r="B35" t="s">
        <v>568</v>
      </c>
      <c r="C35" t="s">
        <v>569</v>
      </c>
    </row>
    <row r="36" spans="1:4">
      <c r="A36" t="s">
        <v>563</v>
      </c>
      <c r="B36" t="s">
        <v>570</v>
      </c>
      <c r="C36" t="s">
        <v>364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741D-C01B-4643-B2F9-6CFF3EC68003}">
  <dimension ref="A1:F10"/>
  <sheetViews>
    <sheetView workbookViewId="0"/>
  </sheetViews>
  <sheetFormatPr defaultRowHeight="14.25"/>
  <cols>
    <col min="1" max="1" width="10" bestFit="1" customWidth="1"/>
    <col min="2" max="2" width="36.265625" bestFit="1" customWidth="1"/>
    <col min="3" max="3" width="17.6640625" bestFit="1" customWidth="1"/>
    <col min="6" max="6" width="46.59765625" customWidth="1"/>
  </cols>
  <sheetData>
    <row r="1" spans="1:6">
      <c r="A1" t="s">
        <v>583</v>
      </c>
    </row>
    <row r="2" spans="1:6">
      <c r="A2" t="s">
        <v>98</v>
      </c>
      <c r="B2" t="s">
        <v>99</v>
      </c>
      <c r="C2" t="s">
        <v>100</v>
      </c>
      <c r="F2" t="s">
        <v>604</v>
      </c>
    </row>
    <row r="3" spans="1:6">
      <c r="A3" t="s">
        <v>584</v>
      </c>
      <c r="B3" t="s">
        <v>585</v>
      </c>
      <c r="C3" t="s">
        <v>586</v>
      </c>
      <c r="F3" t="s">
        <v>598</v>
      </c>
    </row>
    <row r="4" spans="1:6">
      <c r="A4" t="s">
        <v>584</v>
      </c>
      <c r="B4" t="s">
        <v>104</v>
      </c>
      <c r="C4" t="s">
        <v>587</v>
      </c>
      <c r="F4" t="s">
        <v>599</v>
      </c>
    </row>
    <row r="5" spans="1:6">
      <c r="A5" t="s">
        <v>584</v>
      </c>
      <c r="B5" t="s">
        <v>588</v>
      </c>
      <c r="C5" t="s">
        <v>589</v>
      </c>
      <c r="F5" t="s">
        <v>600</v>
      </c>
    </row>
    <row r="6" spans="1:6">
      <c r="A6" t="s">
        <v>584</v>
      </c>
      <c r="B6" t="s">
        <v>590</v>
      </c>
      <c r="C6" t="s">
        <v>591</v>
      </c>
      <c r="F6" t="s">
        <v>601</v>
      </c>
    </row>
    <row r="7" spans="1:6">
      <c r="A7" t="s">
        <v>584</v>
      </c>
      <c r="B7" t="s">
        <v>592</v>
      </c>
      <c r="C7" t="s">
        <v>593</v>
      </c>
      <c r="F7" t="s">
        <v>602</v>
      </c>
    </row>
    <row r="8" spans="1:6">
      <c r="A8" t="s">
        <v>584</v>
      </c>
      <c r="B8" t="s">
        <v>256</v>
      </c>
      <c r="C8" t="s">
        <v>594</v>
      </c>
    </row>
    <row r="9" spans="1:6">
      <c r="A9" t="s">
        <v>584</v>
      </c>
      <c r="B9" t="s">
        <v>49</v>
      </c>
      <c r="C9" t="s">
        <v>595</v>
      </c>
    </row>
    <row r="10" spans="1:6">
      <c r="A10" t="s">
        <v>584</v>
      </c>
      <c r="B10" t="s">
        <v>596</v>
      </c>
      <c r="C10" t="s">
        <v>597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Sankey</vt:lpstr>
      <vt:lpstr>Sankey RSD</vt:lpstr>
      <vt:lpstr>PSet_MAP coarse</vt:lpstr>
      <vt:lpstr>CName_MAP</vt:lpstr>
      <vt:lpstr>varbl map</vt:lpstr>
      <vt:lpstr>process map</vt:lpstr>
      <vt:lpstr>commodity map</vt:lpstr>
      <vt:lpstr>ATS</vt:lpstr>
      <vt:lpstr>UnitConv</vt:lpstr>
      <vt:lpstr>process map TIM</vt:lpstr>
      <vt:lpstr>commodity map TIM</vt:lpstr>
      <vt:lpstr>varbl map TIM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2026-09-20T14:42:47Z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