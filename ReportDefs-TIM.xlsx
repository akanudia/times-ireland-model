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A552B5EC-13AC-48B3-AA88-3C488E7362F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56" r:id="rId1"/>
    <sheet name="TS_Defs" sheetId="27" r:id="rId2"/>
    <sheet name="varbl map" sheetId="64" r:id="rId3"/>
    <sheet name="PSet_MAP coarse" sheetId="57" r:id="rId4"/>
    <sheet name="CName_MAP" sheetId="58" r:id="rId5"/>
    <sheet name="process map" sheetId="24" r:id="rId6"/>
    <sheet name="commodity map" sheetId="49" r:id="rId7"/>
    <sheet name="ATS" sheetId="63" r:id="rId8"/>
    <sheet name="UnitConv" sheetId="59" r:id="rId9"/>
  </sheets>
  <definedNames>
    <definedName name="_xlnm._FilterDatabase" localSheetId="1" hidden="1">TS_Defs!$B$2:$P$2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27" l="1"/>
  <c r="B21" i="24"/>
  <c r="B22" i="24"/>
  <c r="B23" i="24"/>
  <c r="B24" i="24"/>
  <c r="B25" i="24"/>
  <c r="B26" i="24"/>
  <c r="B27" i="24"/>
  <c r="B19" i="24"/>
  <c r="B28" i="24"/>
  <c r="B29" i="24"/>
  <c r="B30" i="24"/>
  <c r="B20" i="24"/>
  <c r="B4" i="27"/>
  <c r="B5" i="27" s="1"/>
  <c r="B6" i="27" s="1"/>
  <c r="B7" i="27" s="1"/>
  <c r="B8" i="27" s="1"/>
  <c r="B9" i="27" s="1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F5" i="57"/>
  <c r="F6" i="57" s="1"/>
  <c r="F7" i="57" s="1"/>
  <c r="F8" i="57" s="1"/>
  <c r="F9" i="57" s="1"/>
  <c r="F10" i="57" s="1"/>
  <c r="F11" i="57" s="1"/>
  <c r="F12" i="57" s="1"/>
  <c r="F13" i="57" s="1"/>
  <c r="F14" i="57" s="1"/>
  <c r="F15" i="57" s="1"/>
  <c r="F16" i="57" s="1"/>
  <c r="F17" i="57" s="1"/>
  <c r="F18" i="57" s="1"/>
  <c r="F19" i="57" s="1"/>
  <c r="B11" i="27" l="1"/>
  <c r="B12" i="27" s="1"/>
  <c r="B13" i="27" s="1"/>
  <c r="B14" i="27" s="1"/>
  <c r="B15" i="27" s="1"/>
  <c r="B16" i="27" s="1"/>
  <c r="B17" i="27" s="1"/>
  <c r="B18" i="27" s="1"/>
  <c r="C18" i="57"/>
  <c r="C17" i="57"/>
  <c r="C10" i="57"/>
  <c r="C16" i="57"/>
  <c r="C15" i="57"/>
  <c r="C1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4" i="57"/>
  <c r="C5" i="57"/>
  <c r="C6" i="57"/>
  <c r="C7" i="57"/>
  <c r="C8" i="57"/>
  <c r="C9" i="57"/>
  <c r="C11" i="57"/>
  <c r="C12" i="57"/>
  <c r="C13" i="57"/>
  <c r="C19" i="57"/>
  <c r="C3" i="57"/>
  <c r="F3" i="57"/>
  <c r="F4" i="57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E15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E2" authorId="1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<sst xmlns="http://schemas.openxmlformats.org/spreadsheetml/2006/main" count="1140" uniqueCount="264">
  <si>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</si>
  <si>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</si>
  <si>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</si>
  <si>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</si>
  <si>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</si>
  <si>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</si>
  <si>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</si>
  <si>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</si>
  <si>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</si>
  <si>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</si>
  <si>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</si>
  <si>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</si>
  <si>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</si>
  <si>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</si>
  <si>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</si>
  <si>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</si>
  <si>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</si>
  <si>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</si>
  <si>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</si>
  <si>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</si>
  <si>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</si>
  <si>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</si>
  <si>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</si>
  <si>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</si>
  <si>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</si>
  <si>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</si>
  <si>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</si>
  <si>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</si>
  <si>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</si>
  <si>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</si>
  <si>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</si>
  <si>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</si>
  <si>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</si>
  <si>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IgnoreForRegAgg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</si>
  <si>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</si>
  <si>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</si>
  <si>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</si>
  <si>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</si>
  <si>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</si>
  <si>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</si>
  <si>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</si>
  <si>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</si>
  <si>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</si>
  <si>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</si>
  <si>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</si>
  <si>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</si>
  <si>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</si>
  <si>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</si>
  <si>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</si>
  <si>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</si>
  <si>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</si>
  <si>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</si>
  <si>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</si>
  <si>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</si>
  <si>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</si>
  <si>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</si>
  <si>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</si>
  <si>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</si>
  <si>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</si>
  <si>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</si>
  <si>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</si>
  <si>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</si>
  <si>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</si>
  <si>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</si>
  <si>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</si>
  <si>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</si>
  <si>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</si>
  <si>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</si>
  <si>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</si>
  <si>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</si>
  <si>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</si>
  <si>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</si>
  <si>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</si>
  <si>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</si>
  <si>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</si>
  <si>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</si>
  <si>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</si>
  <si>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</si>
  <si>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</si>
  <si>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</si>
  <si>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</si>
  <si>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</si>
  <si>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</si>
  <si>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</si>
  <si>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</si>
  <si>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</si>
  <si>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</si>
  <si>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</si>
  <si>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</si>
  <si>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</si>
  <si>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</si>
  <si>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</si>
  <si>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</si>
  <si>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</si>
  <si>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</si>
  <si>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</si>
  <si>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</si>
  <si>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</si>
  <si>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</si>
  <si>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</si>
  <si>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</si>
  <si>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</si>
  <si>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</si>
  <si>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</si>
  <si>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</si>
  <si>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T-*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</si>
  <si>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</si>
  <si>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</si>
  <si>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</si>
  <si>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</si>
  <si>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</si>
  <si>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</si>
  <si>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</si>
  <si>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</si>
  <si>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</si>
  <si>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</si>
  <si>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</si>
  <si>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</si>
  <si>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</si>
  <si>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</si>
  <si>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</si>
  <si>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</si>
  <si>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</si>
  <si>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</si>
  <si>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</si>
  <si>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</si>
  <si>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</si>
  <si>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</si>
  <si>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</si>
  <si>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</si>
  <si>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</si>
  <si>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</si>
  <si>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</si>
  <si>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</si>
  <si>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</si>
  <si>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</si>
  <si>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</si>
  <si>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</si>
  <si>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</si>
  <si>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</si>
  <si>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</si>
  <si>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</si>
  <si>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</si>
  <si>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</si>
  <si>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</si>
  <si>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</si>
  <si>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</si>
  <si>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</si>
  <si>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</si>
  <si>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</si>
  <si>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</si>
  <si>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</si>
  <si>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</si>
  <si>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</si>
  <si>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</si>
  <si>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</si>
  <si>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</si>
  <si>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</si>
  <si>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</si>
  <si>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</si>
  <si>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</si>
  <si>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</si>
  <si>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</si>
  <si>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</si>
  <si>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</si>
  <si>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</si>
  <si>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</si>
  <si>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</si>
  <si>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</si>
  <si>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</si>
  <si>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</si>
  <si>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</si>
  <si>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</si>
  <si>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</si>
  <si>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</si>
  <si>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</si>
  <si>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</si>
  <si>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</si>
  <si>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</si>
  <si>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</si>
  <si>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</si>
  <si>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</si>
  <si>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</si>
  <si>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</si>
  <si>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</si>
  <si>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</si>
  <si>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</si>
  <si>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</si>
  <si>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</si>
  <si>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</si>
  <si>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</si>
  <si>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</si>
  <si>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</si>
  <si>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</si>
  <si>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</si>
  <si>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TRAP*</t>
  </si>
  <si>
    <t>btkm</t>
  </si>
  <si>
    <t>bpkm</t>
  </si>
  <si>
    <t>-TRAF*,-TRAP*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</si>
  <si>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</si>
  <si>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</si>
  <si>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</si>
  <si>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</si>
  <si>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</si>
  <si>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</si>
  <si>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</si>
  <si>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</si>
  <si>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</si>
  <si>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</si>
  <si>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</si>
  <si>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</si>
  <si>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</si>
  <si>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</si>
  <si>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</si>
  <si>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</si>
  <si>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</si>
  <si>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</si>
  <si>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</si>
  <si>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</si>
  <si>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</si>
  <si>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</si>
  <si>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</si>
  <si>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ELCC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</si>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</sst>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rgb="FFFF8001"/>
      </bottom>
      <diagonal/>
    </border>
  </borders>
  <cellStyleXfs count="45">
    <xf numFmtId="0" fontId="0" fillId="0" borderId="0"/>
    <xf numFmtId="164" fontId="7" fillId="0" borderId="0">
      <protection locked="0"/>
    </xf>
    <xf numFmtId="165" fontId="7" fillId="0" borderId="0">
      <protection locked="0"/>
    </xf>
    <xf numFmtId="0" fontId="16" fillId="2" borderId="0" applyNumberFormat="0" applyBorder="0" applyAlignment="0" applyProtection="0"/>
    <xf numFmtId="166" fontId="8" fillId="0" borderId="0">
      <protection locked="0"/>
    </xf>
    <xf numFmtId="166" fontId="8" fillId="0" borderId="0">
      <protection locked="0"/>
    </xf>
    <xf numFmtId="0" fontId="17" fillId="0" borderId="1" applyNumberFormat="0" applyFill="0" applyAlignment="0" applyProtection="0"/>
    <xf numFmtId="0" fontId="18" fillId="3" borderId="0" applyNumberFormat="0" applyBorder="0" applyAlignment="0" applyProtection="0"/>
    <xf numFmtId="0" fontId="2" fillId="0" borderId="0"/>
    <xf numFmtId="0" fontId="6" fillId="0" borderId="0"/>
    <xf numFmtId="0" fontId="15" fillId="0" borderId="0"/>
    <xf numFmtId="0" fontId="2" fillId="0" borderId="0"/>
    <xf numFmtId="0" fontId="13" fillId="0" borderId="0"/>
    <xf numFmtId="0" fontId="9" fillId="0" borderId="0"/>
    <xf numFmtId="0" fontId="2" fillId="0" borderId="0"/>
    <xf numFmtId="0" fontId="14" fillId="0" borderId="0"/>
    <xf numFmtId="0" fontId="12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5" fillId="0" borderId="0" applyFont="0" applyFill="0" applyBorder="0" applyAlignment="0" applyProtection="0"/>
  </cellStyleXfs>
  <cellXfs count="7">
    <xf numFmtId="0" fontId="0" fillId="0" borderId="0" xfId="0"/>
    <xf numFmtId="0" fontId="19" fillId="4" borderId="0" xfId="0" applyFont="1" applyFill="1"/>
    <xf numFmtId="0" fontId="0" fillId="0" borderId="0" xfId="0" quotePrefix="1"/>
    <xf numFmtId="0" fontId="18" fillId="3" borderId="0" xfId="7"/>
    <xf numFmtId="0" fontId="17" fillId="0" borderId="1" xfId="6"/>
    <xf numFmtId="0" fontId="16" fillId="2" borderId="0" xfId="3"/>
    <xf numFmtId="0" fontId="20" fillId="2" borderId="0" xfId="3" applyFont="1" applyAlignment="1">
      <alignment horizontal="left"/>
    </xf>
  </cellXfs>
  <cellStyles count="45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70</v>
      </c>
      <c r="I1" t="s">
        <v>55</v>
      </c>
      <c r="J1" t="s">
        <v>56</v>
      </c>
      <c r="K1" t="s">
        <v>65</v>
      </c>
      <c r="L1" t="s">
        <v>11</v>
      </c>
      <c r="M1" t="s">
        <v>66</v>
      </c>
    </row>
    <row r="2" spans="1:22">
      <c r="I2" t="s">
        <v>54</v>
      </c>
      <c r="J2" t="s">
        <v>57</v>
      </c>
      <c r="K2" t="s">
        <v>58</v>
      </c>
      <c r="L2" t="s">
        <v>8</v>
      </c>
      <c r="M2" t="s">
        <v>67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69</v>
      </c>
      <c r="O5" t="s">
        <v>68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51</v>
      </c>
      <c r="J6" t="s">
        <v>51</v>
      </c>
      <c r="K6" t="s">
        <v>51</v>
      </c>
      <c r="L6" t="s">
        <v>18</v>
      </c>
      <c r="M6" t="s">
        <v>59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60</v>
      </c>
      <c r="J7" t="s">
        <v>51</v>
      </c>
      <c r="K7" t="s">
        <v>51</v>
      </c>
      <c r="L7" t="s">
        <v>18</v>
      </c>
      <c r="M7" t="s">
        <v>59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61</v>
      </c>
      <c r="J8" t="s">
        <v>51</v>
      </c>
      <c r="K8" t="s">
        <v>51</v>
      </c>
      <c r="L8" t="s">
        <v>18</v>
      </c>
      <c r="M8" t="s">
        <v>59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62</v>
      </c>
      <c r="J9" t="s">
        <v>51</v>
      </c>
      <c r="K9" t="s">
        <v>51</v>
      </c>
      <c r="L9" t="s">
        <v>18</v>
      </c>
      <c r="M9" t="s">
        <v>59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63</v>
      </c>
      <c r="J10" t="s">
        <v>51</v>
      </c>
      <c r="K10" t="s">
        <v>51</v>
      </c>
      <c r="L10" t="s">
        <v>18</v>
      </c>
      <c r="M10" t="s">
        <v>59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64</v>
      </c>
      <c r="J11" t="s">
        <v>51</v>
      </c>
      <c r="K11" t="s">
        <v>51</v>
      </c>
      <c r="L11" t="s">
        <v>18</v>
      </c>
      <c r="M11" t="s">
        <v>59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51</v>
      </c>
      <c r="J12" t="s">
        <v>53</v>
      </c>
      <c r="K12" t="s">
        <v>51</v>
      </c>
      <c r="L12" t="s">
        <v>18</v>
      </c>
      <c r="M12" t="s">
        <v>59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60</v>
      </c>
      <c r="J13" t="s">
        <v>53</v>
      </c>
      <c r="K13" t="s">
        <v>51</v>
      </c>
      <c r="L13" t="s">
        <v>18</v>
      </c>
      <c r="M13" t="s">
        <v>59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61</v>
      </c>
      <c r="J14" t="s">
        <v>53</v>
      </c>
      <c r="K14" t="s">
        <v>51</v>
      </c>
      <c r="L14" t="s">
        <v>18</v>
      </c>
      <c r="M14" t="s">
        <v>59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62</v>
      </c>
      <c r="J15" t="s">
        <v>53</v>
      </c>
      <c r="K15" t="s">
        <v>51</v>
      </c>
      <c r="L15" t="s">
        <v>18</v>
      </c>
      <c r="M15" t="s">
        <v>59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63</v>
      </c>
      <c r="J16" t="s">
        <v>53</v>
      </c>
      <c r="K16" t="s">
        <v>51</v>
      </c>
      <c r="L16" t="s">
        <v>18</v>
      </c>
      <c r="M16" t="s">
        <v>59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64</v>
      </c>
      <c r="J17" t="s">
        <v>53</v>
      </c>
      <c r="K17" t="s">
        <v>51</v>
      </c>
      <c r="L17" t="s">
        <v>18</v>
      </c>
      <c r="M17" t="s">
        <v>59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51</v>
      </c>
      <c r="J18" t="s">
        <v>52</v>
      </c>
      <c r="K18" t="s">
        <v>51</v>
      </c>
      <c r="L18" t="s">
        <v>18</v>
      </c>
      <c r="M18" t="s">
        <v>59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60</v>
      </c>
      <c r="J19" t="s">
        <v>52</v>
      </c>
      <c r="K19" t="s">
        <v>51</v>
      </c>
      <c r="L19" t="s">
        <v>18</v>
      </c>
      <c r="M19" t="s">
        <v>59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61</v>
      </c>
      <c r="J20" t="s">
        <v>52</v>
      </c>
      <c r="K20" t="s">
        <v>51</v>
      </c>
      <c r="L20" t="s">
        <v>18</v>
      </c>
      <c r="M20" t="s">
        <v>59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62</v>
      </c>
      <c r="J21" t="s">
        <v>52</v>
      </c>
      <c r="K21" t="s">
        <v>51</v>
      </c>
      <c r="L21" t="s">
        <v>18</v>
      </c>
      <c r="M21" t="s">
        <v>59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63</v>
      </c>
      <c r="J22" t="s">
        <v>52</v>
      </c>
      <c r="K22" t="s">
        <v>51</v>
      </c>
      <c r="L22" t="s">
        <v>18</v>
      </c>
      <c r="M22" t="s">
        <v>59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64</v>
      </c>
      <c r="J23" t="s">
        <v>52</v>
      </c>
      <c r="K23" t="s">
        <v>51</v>
      </c>
      <c r="L23" t="s">
        <v>18</v>
      </c>
      <c r="M23" t="s">
        <v>59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51</v>
      </c>
      <c r="J24" t="s">
        <v>51</v>
      </c>
      <c r="K24" t="s">
        <v>53</v>
      </c>
      <c r="L24" t="s">
        <v>18</v>
      </c>
      <c r="M24" t="s">
        <v>59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60</v>
      </c>
      <c r="J25" t="s">
        <v>51</v>
      </c>
      <c r="K25" t="s">
        <v>53</v>
      </c>
      <c r="L25" t="s">
        <v>18</v>
      </c>
      <c r="M25" t="s">
        <v>59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61</v>
      </c>
      <c r="J26" t="s">
        <v>51</v>
      </c>
      <c r="K26" t="s">
        <v>53</v>
      </c>
      <c r="L26" t="s">
        <v>18</v>
      </c>
      <c r="M26" t="s">
        <v>59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62</v>
      </c>
      <c r="J27" t="s">
        <v>51</v>
      </c>
      <c r="K27" t="s">
        <v>53</v>
      </c>
      <c r="L27" t="s">
        <v>18</v>
      </c>
      <c r="M27" t="s">
        <v>59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63</v>
      </c>
      <c r="J28" t="s">
        <v>51</v>
      </c>
      <c r="K28" t="s">
        <v>53</v>
      </c>
      <c r="L28" t="s">
        <v>18</v>
      </c>
      <c r="M28" t="s">
        <v>59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64</v>
      </c>
      <c r="J29" t="s">
        <v>51</v>
      </c>
      <c r="K29" t="s">
        <v>53</v>
      </c>
      <c r="L29" t="s">
        <v>18</v>
      </c>
      <c r="M29" t="s">
        <v>59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51</v>
      </c>
      <c r="J30" t="s">
        <v>53</v>
      </c>
      <c r="K30" t="s">
        <v>53</v>
      </c>
      <c r="L30" t="s">
        <v>18</v>
      </c>
      <c r="M30" t="s">
        <v>59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60</v>
      </c>
      <c r="J31" t="s">
        <v>53</v>
      </c>
      <c r="K31" t="s">
        <v>53</v>
      </c>
      <c r="L31" t="s">
        <v>18</v>
      </c>
      <c r="M31" t="s">
        <v>59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61</v>
      </c>
      <c r="J32" t="s">
        <v>53</v>
      </c>
      <c r="K32" t="s">
        <v>53</v>
      </c>
      <c r="L32" t="s">
        <v>18</v>
      </c>
      <c r="M32" t="s">
        <v>59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62</v>
      </c>
      <c r="J33" t="s">
        <v>53</v>
      </c>
      <c r="K33" t="s">
        <v>53</v>
      </c>
      <c r="L33" t="s">
        <v>18</v>
      </c>
      <c r="M33" t="s">
        <v>59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63</v>
      </c>
      <c r="J34" t="s">
        <v>53</v>
      </c>
      <c r="K34" t="s">
        <v>53</v>
      </c>
      <c r="L34" t="s">
        <v>18</v>
      </c>
      <c r="M34" t="s">
        <v>59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64</v>
      </c>
      <c r="J35" t="s">
        <v>53</v>
      </c>
      <c r="K35" t="s">
        <v>53</v>
      </c>
      <c r="L35" t="s">
        <v>18</v>
      </c>
      <c r="M35" t="s">
        <v>59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51</v>
      </c>
      <c r="J36" t="s">
        <v>52</v>
      </c>
      <c r="K36" t="s">
        <v>53</v>
      </c>
      <c r="L36" t="s">
        <v>18</v>
      </c>
      <c r="M36" t="s">
        <v>59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60</v>
      </c>
      <c r="J37" t="s">
        <v>52</v>
      </c>
      <c r="K37" t="s">
        <v>53</v>
      </c>
      <c r="L37" t="s">
        <v>18</v>
      </c>
      <c r="M37" t="s">
        <v>59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61</v>
      </c>
      <c r="J38" t="s">
        <v>52</v>
      </c>
      <c r="K38" t="s">
        <v>53</v>
      </c>
      <c r="L38" t="s">
        <v>18</v>
      </c>
      <c r="M38" t="s">
        <v>59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62</v>
      </c>
      <c r="J39" t="s">
        <v>52</v>
      </c>
      <c r="K39" t="s">
        <v>53</v>
      </c>
      <c r="L39" t="s">
        <v>18</v>
      </c>
      <c r="M39" t="s">
        <v>59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63</v>
      </c>
      <c r="J40" t="s">
        <v>52</v>
      </c>
      <c r="K40" t="s">
        <v>53</v>
      </c>
      <c r="L40" t="s">
        <v>18</v>
      </c>
      <c r="M40" t="s">
        <v>59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64</v>
      </c>
      <c r="J41" t="s">
        <v>52</v>
      </c>
      <c r="K41" t="s">
        <v>53</v>
      </c>
      <c r="L41" t="s">
        <v>18</v>
      </c>
      <c r="M41" t="s">
        <v>59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51</v>
      </c>
      <c r="J42" t="s">
        <v>51</v>
      </c>
      <c r="K42" t="s">
        <v>51</v>
      </c>
      <c r="L42" t="s">
        <v>11</v>
      </c>
      <c r="M42" t="s">
        <v>59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60</v>
      </c>
      <c r="J43" t="s">
        <v>51</v>
      </c>
      <c r="K43" t="s">
        <v>51</v>
      </c>
      <c r="L43" t="s">
        <v>11</v>
      </c>
      <c r="M43" t="s">
        <v>59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61</v>
      </c>
      <c r="J44" t="s">
        <v>51</v>
      </c>
      <c r="K44" t="s">
        <v>51</v>
      </c>
      <c r="L44" t="s">
        <v>11</v>
      </c>
      <c r="M44" t="s">
        <v>59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62</v>
      </c>
      <c r="J45" t="s">
        <v>51</v>
      </c>
      <c r="K45" t="s">
        <v>51</v>
      </c>
      <c r="L45" t="s">
        <v>11</v>
      </c>
      <c r="M45" t="s">
        <v>59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63</v>
      </c>
      <c r="J46" t="s">
        <v>51</v>
      </c>
      <c r="K46" t="s">
        <v>51</v>
      </c>
      <c r="L46" t="s">
        <v>11</v>
      </c>
      <c r="M46" t="s">
        <v>59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64</v>
      </c>
      <c r="J47" t="s">
        <v>51</v>
      </c>
      <c r="K47" t="s">
        <v>51</v>
      </c>
      <c r="L47" t="s">
        <v>11</v>
      </c>
      <c r="M47" t="s">
        <v>59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51</v>
      </c>
      <c r="J48" t="s">
        <v>53</v>
      </c>
      <c r="K48" t="s">
        <v>51</v>
      </c>
      <c r="L48" t="s">
        <v>11</v>
      </c>
      <c r="M48" t="s">
        <v>59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60</v>
      </c>
      <c r="J49" t="s">
        <v>53</v>
      </c>
      <c r="K49" t="s">
        <v>51</v>
      </c>
      <c r="L49" t="s">
        <v>11</v>
      </c>
      <c r="M49" t="s">
        <v>59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61</v>
      </c>
      <c r="J50" t="s">
        <v>53</v>
      </c>
      <c r="K50" t="s">
        <v>51</v>
      </c>
      <c r="L50" t="s">
        <v>11</v>
      </c>
      <c r="M50" t="s">
        <v>59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62</v>
      </c>
      <c r="J51" t="s">
        <v>53</v>
      </c>
      <c r="K51" t="s">
        <v>51</v>
      </c>
      <c r="L51" t="s">
        <v>11</v>
      </c>
      <c r="M51" t="s">
        <v>59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63</v>
      </c>
      <c r="J52" t="s">
        <v>53</v>
      </c>
      <c r="K52" t="s">
        <v>51</v>
      </c>
      <c r="L52" t="s">
        <v>11</v>
      </c>
      <c r="M52" t="s">
        <v>59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64</v>
      </c>
      <c r="J53" t="s">
        <v>53</v>
      </c>
      <c r="K53" t="s">
        <v>51</v>
      </c>
      <c r="L53" t="s">
        <v>11</v>
      </c>
      <c r="M53" t="s">
        <v>59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51</v>
      </c>
      <c r="J54" t="s">
        <v>52</v>
      </c>
      <c r="K54" t="s">
        <v>51</v>
      </c>
      <c r="L54" t="s">
        <v>11</v>
      </c>
      <c r="M54" t="s">
        <v>59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60</v>
      </c>
      <c r="J55" t="s">
        <v>52</v>
      </c>
      <c r="K55" t="s">
        <v>51</v>
      </c>
      <c r="L55" t="s">
        <v>11</v>
      </c>
      <c r="M55" t="s">
        <v>59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61</v>
      </c>
      <c r="J56" t="s">
        <v>52</v>
      </c>
      <c r="K56" t="s">
        <v>51</v>
      </c>
      <c r="L56" t="s">
        <v>11</v>
      </c>
      <c r="M56" t="s">
        <v>59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62</v>
      </c>
      <c r="J57" t="s">
        <v>52</v>
      </c>
      <c r="K57" t="s">
        <v>51</v>
      </c>
      <c r="L57" t="s">
        <v>11</v>
      </c>
      <c r="M57" t="s">
        <v>59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63</v>
      </c>
      <c r="J58" t="s">
        <v>52</v>
      </c>
      <c r="K58" t="s">
        <v>51</v>
      </c>
      <c r="L58" t="s">
        <v>11</v>
      </c>
      <c r="M58" t="s">
        <v>59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64</v>
      </c>
      <c r="J59" t="s">
        <v>52</v>
      </c>
      <c r="K59" t="s">
        <v>51</v>
      </c>
      <c r="L59" t="s">
        <v>11</v>
      </c>
      <c r="M59" t="s">
        <v>59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51</v>
      </c>
      <c r="J60" t="s">
        <v>51</v>
      </c>
      <c r="K60" t="s">
        <v>53</v>
      </c>
      <c r="L60" t="s">
        <v>11</v>
      </c>
      <c r="M60" t="s">
        <v>59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60</v>
      </c>
      <c r="J61" t="s">
        <v>51</v>
      </c>
      <c r="K61" t="s">
        <v>53</v>
      </c>
      <c r="L61" t="s">
        <v>11</v>
      </c>
      <c r="M61" t="s">
        <v>59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61</v>
      </c>
      <c r="J62" t="s">
        <v>51</v>
      </c>
      <c r="K62" t="s">
        <v>53</v>
      </c>
      <c r="L62" t="s">
        <v>11</v>
      </c>
      <c r="M62" t="s">
        <v>59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62</v>
      </c>
      <c r="J63" t="s">
        <v>51</v>
      </c>
      <c r="K63" t="s">
        <v>53</v>
      </c>
      <c r="L63" t="s">
        <v>11</v>
      </c>
      <c r="M63" t="s">
        <v>59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63</v>
      </c>
      <c r="J64" t="s">
        <v>51</v>
      </c>
      <c r="K64" t="s">
        <v>53</v>
      </c>
      <c r="L64" t="s">
        <v>11</v>
      </c>
      <c r="M64" t="s">
        <v>59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64</v>
      </c>
      <c r="J65" t="s">
        <v>51</v>
      </c>
      <c r="K65" t="s">
        <v>53</v>
      </c>
      <c r="L65" t="s">
        <v>11</v>
      </c>
      <c r="M65" t="s">
        <v>59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51</v>
      </c>
      <c r="J66" t="s">
        <v>53</v>
      </c>
      <c r="K66" t="s">
        <v>53</v>
      </c>
      <c r="L66" t="s">
        <v>11</v>
      </c>
      <c r="M66" t="s">
        <v>59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60</v>
      </c>
      <c r="J67" t="s">
        <v>53</v>
      </c>
      <c r="K67" t="s">
        <v>53</v>
      </c>
      <c r="L67" t="s">
        <v>11</v>
      </c>
      <c r="M67" t="s">
        <v>59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61</v>
      </c>
      <c r="J68" t="s">
        <v>53</v>
      </c>
      <c r="K68" t="s">
        <v>53</v>
      </c>
      <c r="L68" t="s">
        <v>11</v>
      </c>
      <c r="M68" t="s">
        <v>59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62</v>
      </c>
      <c r="J69" t="s">
        <v>53</v>
      </c>
      <c r="K69" t="s">
        <v>53</v>
      </c>
      <c r="L69" t="s">
        <v>11</v>
      </c>
      <c r="M69" t="s">
        <v>59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63</v>
      </c>
      <c r="J70" t="s">
        <v>53</v>
      </c>
      <c r="K70" t="s">
        <v>53</v>
      </c>
      <c r="L70" t="s">
        <v>11</v>
      </c>
      <c r="M70" t="s">
        <v>59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64</v>
      </c>
      <c r="J71" t="s">
        <v>53</v>
      </c>
      <c r="K71" t="s">
        <v>53</v>
      </c>
      <c r="L71" t="s">
        <v>11</v>
      </c>
      <c r="M71" t="s">
        <v>59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51</v>
      </c>
      <c r="J72" t="s">
        <v>52</v>
      </c>
      <c r="K72" t="s">
        <v>53</v>
      </c>
      <c r="L72" t="s">
        <v>11</v>
      </c>
      <c r="M72" t="s">
        <v>59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60</v>
      </c>
      <c r="J73" t="s">
        <v>52</v>
      </c>
      <c r="K73" t="s">
        <v>53</v>
      </c>
      <c r="L73" t="s">
        <v>11</v>
      </c>
      <c r="M73" t="s">
        <v>59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61</v>
      </c>
      <c r="J74" t="s">
        <v>52</v>
      </c>
      <c r="K74" t="s">
        <v>53</v>
      </c>
      <c r="L74" t="s">
        <v>11</v>
      </c>
      <c r="M74" t="s">
        <v>59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62</v>
      </c>
      <c r="J75" t="s">
        <v>52</v>
      </c>
      <c r="K75" t="s">
        <v>53</v>
      </c>
      <c r="L75" t="s">
        <v>11</v>
      </c>
      <c r="M75" t="s">
        <v>59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63</v>
      </c>
      <c r="J76" t="s">
        <v>52</v>
      </c>
      <c r="K76" t="s">
        <v>53</v>
      </c>
      <c r="L76" t="s">
        <v>11</v>
      </c>
      <c r="M76" t="s">
        <v>59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64</v>
      </c>
      <c r="J77" t="s">
        <v>52</v>
      </c>
      <c r="K77" t="s">
        <v>53</v>
      </c>
      <c r="L77" t="s">
        <v>11</v>
      </c>
      <c r="M77" t="s">
        <v>59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51</v>
      </c>
      <c r="J78" t="s">
        <v>51</v>
      </c>
      <c r="K78" t="s">
        <v>51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60</v>
      </c>
      <c r="J79" t="s">
        <v>51</v>
      </c>
      <c r="K79" t="s">
        <v>51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61</v>
      </c>
      <c r="J80" t="s">
        <v>51</v>
      </c>
      <c r="K80" t="s">
        <v>51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62</v>
      </c>
      <c r="J81" t="s">
        <v>51</v>
      </c>
      <c r="K81" t="s">
        <v>51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63</v>
      </c>
      <c r="J82" t="s">
        <v>51</v>
      </c>
      <c r="K82" t="s">
        <v>51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64</v>
      </c>
      <c r="J83" t="s">
        <v>51</v>
      </c>
      <c r="K83" t="s">
        <v>51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51</v>
      </c>
      <c r="J84" t="s">
        <v>53</v>
      </c>
      <c r="K84" t="s">
        <v>51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60</v>
      </c>
      <c r="J85" t="s">
        <v>53</v>
      </c>
      <c r="K85" t="s">
        <v>51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61</v>
      </c>
      <c r="J86" t="s">
        <v>53</v>
      </c>
      <c r="K86" t="s">
        <v>51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62</v>
      </c>
      <c r="J87" t="s">
        <v>53</v>
      </c>
      <c r="K87" t="s">
        <v>51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63</v>
      </c>
      <c r="J88" t="s">
        <v>53</v>
      </c>
      <c r="K88" t="s">
        <v>51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64</v>
      </c>
      <c r="J89" t="s">
        <v>53</v>
      </c>
      <c r="K89" t="s">
        <v>51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51</v>
      </c>
      <c r="J90" t="s">
        <v>52</v>
      </c>
      <c r="K90" t="s">
        <v>51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60</v>
      </c>
      <c r="J91" t="s">
        <v>52</v>
      </c>
      <c r="K91" t="s">
        <v>51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61</v>
      </c>
      <c r="J92" t="s">
        <v>52</v>
      </c>
      <c r="K92" t="s">
        <v>51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62</v>
      </c>
      <c r="J93" t="s">
        <v>52</v>
      </c>
      <c r="K93" t="s">
        <v>51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63</v>
      </c>
      <c r="J94" t="s">
        <v>52</v>
      </c>
      <c r="K94" t="s">
        <v>51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64</v>
      </c>
      <c r="J95" t="s">
        <v>52</v>
      </c>
      <c r="K95" t="s">
        <v>51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51</v>
      </c>
      <c r="J96" t="s">
        <v>51</v>
      </c>
      <c r="K96" t="s">
        <v>53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60</v>
      </c>
      <c r="J97" t="s">
        <v>51</v>
      </c>
      <c r="K97" t="s">
        <v>53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61</v>
      </c>
      <c r="J98" t="s">
        <v>51</v>
      </c>
      <c r="K98" t="s">
        <v>53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62</v>
      </c>
      <c r="J99" t="s">
        <v>51</v>
      </c>
      <c r="K99" t="s">
        <v>53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63</v>
      </c>
      <c r="J100" t="s">
        <v>51</v>
      </c>
      <c r="K100" t="s">
        <v>53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64</v>
      </c>
      <c r="J101" t="s">
        <v>51</v>
      </c>
      <c r="K101" t="s">
        <v>53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51</v>
      </c>
      <c r="J102" t="s">
        <v>53</v>
      </c>
      <c r="K102" t="s">
        <v>53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60</v>
      </c>
      <c r="J103" t="s">
        <v>53</v>
      </c>
      <c r="K103" t="s">
        <v>53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61</v>
      </c>
      <c r="J104" t="s">
        <v>53</v>
      </c>
      <c r="K104" t="s">
        <v>53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62</v>
      </c>
      <c r="J105" t="s">
        <v>53</v>
      </c>
      <c r="K105" t="s">
        <v>53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63</v>
      </c>
      <c r="J106" t="s">
        <v>53</v>
      </c>
      <c r="K106" t="s">
        <v>53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64</v>
      </c>
      <c r="J107" t="s">
        <v>53</v>
      </c>
      <c r="K107" t="s">
        <v>53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51</v>
      </c>
      <c r="J108" t="s">
        <v>52</v>
      </c>
      <c r="K108" t="s">
        <v>53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60</v>
      </c>
      <c r="J109" t="s">
        <v>52</v>
      </c>
      <c r="K109" t="s">
        <v>53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61</v>
      </c>
      <c r="J110" t="s">
        <v>52</v>
      </c>
      <c r="K110" t="s">
        <v>53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62</v>
      </c>
      <c r="J111" t="s">
        <v>52</v>
      </c>
      <c r="K111" t="s">
        <v>53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63</v>
      </c>
      <c r="J112" t="s">
        <v>52</v>
      </c>
      <c r="K112" t="s">
        <v>53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64</v>
      </c>
      <c r="J113" t="s">
        <v>52</v>
      </c>
      <c r="K113" t="s">
        <v>53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51</v>
      </c>
      <c r="J114" t="s">
        <v>51</v>
      </c>
      <c r="K114" t="s">
        <v>51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60</v>
      </c>
      <c r="J115" t="s">
        <v>51</v>
      </c>
      <c r="K115" t="s">
        <v>51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61</v>
      </c>
      <c r="J116" t="s">
        <v>51</v>
      </c>
      <c r="K116" t="s">
        <v>51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62</v>
      </c>
      <c r="J117" t="s">
        <v>51</v>
      </c>
      <c r="K117" t="s">
        <v>51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63</v>
      </c>
      <c r="J118" t="s">
        <v>51</v>
      </c>
      <c r="K118" t="s">
        <v>51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64</v>
      </c>
      <c r="J119" t="s">
        <v>51</v>
      </c>
      <c r="K119" t="s">
        <v>51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51</v>
      </c>
      <c r="J120" t="s">
        <v>53</v>
      </c>
      <c r="K120" t="s">
        <v>51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60</v>
      </c>
      <c r="J121" t="s">
        <v>53</v>
      </c>
      <c r="K121" t="s">
        <v>51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61</v>
      </c>
      <c r="J122" t="s">
        <v>53</v>
      </c>
      <c r="K122" t="s">
        <v>51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62</v>
      </c>
      <c r="J123" t="s">
        <v>53</v>
      </c>
      <c r="K123" t="s">
        <v>51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63</v>
      </c>
      <c r="J124" t="s">
        <v>53</v>
      </c>
      <c r="K124" t="s">
        <v>51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64</v>
      </c>
      <c r="J125" t="s">
        <v>53</v>
      </c>
      <c r="K125" t="s">
        <v>51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51</v>
      </c>
      <c r="J126" t="s">
        <v>52</v>
      </c>
      <c r="K126" t="s">
        <v>51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60</v>
      </c>
      <c r="J127" t="s">
        <v>52</v>
      </c>
      <c r="K127" t="s">
        <v>51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61</v>
      </c>
      <c r="J128" t="s">
        <v>52</v>
      </c>
      <c r="K128" t="s">
        <v>51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62</v>
      </c>
      <c r="J129" t="s">
        <v>52</v>
      </c>
      <c r="K129" t="s">
        <v>51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63</v>
      </c>
      <c r="J130" t="s">
        <v>52</v>
      </c>
      <c r="K130" t="s">
        <v>51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64</v>
      </c>
      <c r="J131" t="s">
        <v>52</v>
      </c>
      <c r="K131" t="s">
        <v>51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51</v>
      </c>
      <c r="J132" t="s">
        <v>51</v>
      </c>
      <c r="K132" t="s">
        <v>53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60</v>
      </c>
      <c r="J133" t="s">
        <v>51</v>
      </c>
      <c r="K133" t="s">
        <v>53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61</v>
      </c>
      <c r="J134" t="s">
        <v>51</v>
      </c>
      <c r="K134" t="s">
        <v>53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62</v>
      </c>
      <c r="J135" t="s">
        <v>51</v>
      </c>
      <c r="K135" t="s">
        <v>53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63</v>
      </c>
      <c r="J136" t="s">
        <v>51</v>
      </c>
      <c r="K136" t="s">
        <v>53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64</v>
      </c>
      <c r="J137" t="s">
        <v>51</v>
      </c>
      <c r="K137" t="s">
        <v>53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51</v>
      </c>
      <c r="J138" t="s">
        <v>53</v>
      </c>
      <c r="K138" t="s">
        <v>53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60</v>
      </c>
      <c r="J139" t="s">
        <v>53</v>
      </c>
      <c r="K139" t="s">
        <v>53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61</v>
      </c>
      <c r="J140" t="s">
        <v>53</v>
      </c>
      <c r="K140" t="s">
        <v>53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62</v>
      </c>
      <c r="J141" t="s">
        <v>53</v>
      </c>
      <c r="K141" t="s">
        <v>53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63</v>
      </c>
      <c r="J142" t="s">
        <v>53</v>
      </c>
      <c r="K142" t="s">
        <v>53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64</v>
      </c>
      <c r="J143" t="s">
        <v>53</v>
      </c>
      <c r="K143" t="s">
        <v>53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51</v>
      </c>
      <c r="J144" t="s">
        <v>52</v>
      </c>
      <c r="K144" t="s">
        <v>53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60</v>
      </c>
      <c r="J145" t="s">
        <v>52</v>
      </c>
      <c r="K145" t="s">
        <v>53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61</v>
      </c>
      <c r="J146" t="s">
        <v>52</v>
      </c>
      <c r="K146" t="s">
        <v>53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62</v>
      </c>
      <c r="J147" t="s">
        <v>52</v>
      </c>
      <c r="K147" t="s">
        <v>53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63</v>
      </c>
      <c r="J148" t="s">
        <v>52</v>
      </c>
      <c r="K148" t="s">
        <v>53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64</v>
      </c>
      <c r="J149" t="s">
        <v>52</v>
      </c>
      <c r="K149" t="s">
        <v>53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W18"/>
  <sheetViews>
    <sheetView tabSelected="1" topLeftCell="D1" zoomScaleNormal="100" workbookViewId="0">
      <pane ySplit="2" topLeftCell="A3" activePane="bottomLeft" state="frozen"/>
      <selection pane="bottomLeft" activeCell="R2" sqref="R2"/>
    </sheetView>
  </sheetViews>
  <sheetFormatPr defaultColWidth="9.1328125" defaultRowHeight="14.25"/>
  <cols>
    <col min="2" max="2" width="8.1328125" bestFit="1" customWidth="1"/>
    <col min="3" max="3" width="13.86328125" bestFit="1" customWidth="1"/>
    <col min="4" max="4" width="11.1328125" bestFit="1" customWidth="1"/>
    <col min="5" max="6" width="16.86328125" bestFit="1" customWidth="1"/>
    <col min="7" max="7" width="8.59765625" bestFit="1" customWidth="1"/>
    <col min="8" max="8" width="7.86328125" bestFit="1" customWidth="1"/>
    <col min="9" max="9" width="8.73046875" bestFit="1" customWidth="1"/>
    <col min="10" max="10" width="17.265625" bestFit="1" customWidth="1"/>
    <col min="11" max="11" width="12.73046875" bestFit="1" customWidth="1"/>
    <col min="12" max="12" width="8.59765625" bestFit="1" customWidth="1"/>
    <col min="13" max="13" width="8.73046875" bestFit="1" customWidth="1"/>
    <col min="14" max="14" width="6.86328125" bestFit="1" customWidth="1"/>
    <col min="15" max="15" width="9.265625" bestFit="1" customWidth="1"/>
    <col min="16" max="16" width="27" bestFit="1" customWidth="1"/>
    <col min="17" max="17" width="23.73046875" bestFit="1" customWidth="1"/>
    <col min="18" max="18" width="38.265625" customWidth="1"/>
    <col min="19" max="19" width="9.265625" bestFit="1" customWidth="1"/>
    <col min="20" max="20" width="2" bestFit="1" customWidth="1"/>
    <col min="21" max="21" width="11.59765625" bestFit="1" customWidth="1"/>
    <col min="22" max="22" width="2.1328125" bestFit="1" customWidth="1"/>
    <col min="23" max="23" width="13.86328125" bestFit="1" customWidth="1"/>
    <col min="26" max="26" width="14.3984375" bestFit="1" customWidth="1"/>
    <col min="27" max="27" width="12.73046875" bestFit="1" customWidth="1"/>
    <col min="28" max="28" width="107.73046875" bestFit="1" customWidth="1"/>
  </cols>
  <sheetData>
    <row r="1" spans="1:23">
      <c r="A1" t="s">
        <v>31</v>
      </c>
    </row>
    <row r="2" spans="1:23">
      <c r="A2" t="s">
        <v>33</v>
      </c>
      <c r="B2" s="1" t="s">
        <v>20</v>
      </c>
      <c r="C2" s="1" t="s">
        <v>21</v>
      </c>
      <c r="D2" s="1" t="s">
        <v>32</v>
      </c>
      <c r="E2" s="1" t="s">
        <v>22</v>
      </c>
      <c r="F2" s="1" t="s">
        <v>23</v>
      </c>
      <c r="G2" s="1" t="s">
        <v>27</v>
      </c>
      <c r="H2" s="1" t="s">
        <v>28</v>
      </c>
      <c r="I2" s="1" t="s">
        <v>29</v>
      </c>
      <c r="J2" s="1" t="s">
        <v>24</v>
      </c>
      <c r="K2" s="1" t="s">
        <v>25</v>
      </c>
      <c r="L2" s="1" t="s">
        <v>26</v>
      </c>
      <c r="M2" s="1" t="s">
        <v>0</v>
      </c>
      <c r="N2" s="1" t="s">
        <v>14</v>
      </c>
      <c r="O2" s="1" t="s">
        <v>34</v>
      </c>
      <c r="P2" s="1" t="s">
        <v>2</v>
      </c>
      <c r="Q2" s="1" t="s">
        <v>1</v>
      </c>
      <c r="R2" s="1" t="s">
        <v>19</v>
      </c>
      <c r="S2" s="1" t="s">
        <v>108</v>
      </c>
      <c r="T2" s="1" t="s">
        <v>109</v>
      </c>
    </row>
    <row r="3" spans="1:23">
      <c r="B3">
        <v>1</v>
      </c>
      <c r="C3" t="s">
        <v>37</v>
      </c>
      <c r="E3" t="s">
        <v>106</v>
      </c>
      <c r="F3" t="s">
        <v>105</v>
      </c>
      <c r="J3" t="s">
        <v>38</v>
      </c>
      <c r="M3" t="s">
        <v>76</v>
      </c>
      <c r="P3" t="s">
        <v>103</v>
      </c>
      <c r="S3" t="s">
        <v>193</v>
      </c>
    </row>
    <row r="4" spans="1:23">
      <c r="B4">
        <f>B3+1</f>
        <v>2</v>
      </c>
      <c r="C4" t="s">
        <v>12</v>
      </c>
      <c r="E4" t="s">
        <v>106</v>
      </c>
      <c r="F4" t="s">
        <v>105</v>
      </c>
      <c r="J4" t="s">
        <v>107</v>
      </c>
      <c r="K4" t="s">
        <v>194</v>
      </c>
      <c r="M4" t="s">
        <v>196</v>
      </c>
      <c r="P4" t="s">
        <v>104</v>
      </c>
      <c r="S4" t="s">
        <v>193</v>
      </c>
    </row>
    <row r="5" spans="1:23">
      <c r="B5">
        <f t="shared" ref="B5:B18" si="0">B4+1</f>
        <v>3</v>
      </c>
      <c r="C5" t="s">
        <v>12</v>
      </c>
      <c r="E5" t="s">
        <v>106</v>
      </c>
      <c r="F5" t="s">
        <v>105</v>
      </c>
      <c r="J5" t="s">
        <v>107</v>
      </c>
      <c r="K5" t="s">
        <v>195</v>
      </c>
      <c r="M5" t="s">
        <v>197</v>
      </c>
      <c r="P5" t="s">
        <v>104</v>
      </c>
      <c r="S5" t="s">
        <v>193</v>
      </c>
    </row>
    <row r="6" spans="1:23">
      <c r="B6">
        <f t="shared" si="0"/>
        <v>4</v>
      </c>
      <c r="C6" t="s">
        <v>12</v>
      </c>
      <c r="E6" t="s">
        <v>106</v>
      </c>
      <c r="F6" t="s">
        <v>105</v>
      </c>
      <c r="J6" t="s">
        <v>107</v>
      </c>
      <c r="K6" s="2" t="s">
        <v>198</v>
      </c>
      <c r="M6" t="s">
        <v>76</v>
      </c>
      <c r="P6" t="s">
        <v>104</v>
      </c>
      <c r="S6" t="s">
        <v>193</v>
      </c>
    </row>
    <row r="7" spans="1:23">
      <c r="B7">
        <f t="shared" si="0"/>
        <v>5</v>
      </c>
      <c r="C7" t="s">
        <v>15</v>
      </c>
      <c r="E7" t="s">
        <v>249</v>
      </c>
      <c r="M7" t="s">
        <v>16</v>
      </c>
      <c r="P7" t="s">
        <v>251</v>
      </c>
      <c r="R7" t="s">
        <v>257</v>
      </c>
    </row>
    <row r="8" spans="1:23">
      <c r="B8">
        <f t="shared" si="0"/>
        <v>6</v>
      </c>
      <c r="C8" t="s">
        <v>48</v>
      </c>
      <c r="E8" t="s">
        <v>249</v>
      </c>
      <c r="M8" t="s">
        <v>16</v>
      </c>
      <c r="P8" t="s">
        <v>250</v>
      </c>
      <c r="R8" t="s">
        <v>258</v>
      </c>
      <c r="S8" t="s">
        <v>81</v>
      </c>
      <c r="V8" s="6" t="s">
        <v>80</v>
      </c>
      <c r="W8" s="6"/>
    </row>
    <row r="9" spans="1:23">
      <c r="B9">
        <f t="shared" si="0"/>
        <v>7</v>
      </c>
      <c r="C9" t="s">
        <v>12</v>
      </c>
      <c r="E9" t="s">
        <v>249</v>
      </c>
      <c r="K9" t="s">
        <v>222</v>
      </c>
      <c r="M9" t="s">
        <v>76</v>
      </c>
      <c r="P9" t="s">
        <v>252</v>
      </c>
      <c r="R9" t="s">
        <v>259</v>
      </c>
      <c r="V9" s="5" t="s">
        <v>81</v>
      </c>
      <c r="W9" s="5" t="s">
        <v>92</v>
      </c>
    </row>
    <row r="10" spans="1:23">
      <c r="B10">
        <f t="shared" si="0"/>
        <v>8</v>
      </c>
      <c r="C10" t="s">
        <v>12</v>
      </c>
      <c r="E10" t="s">
        <v>249</v>
      </c>
      <c r="K10" t="s">
        <v>223</v>
      </c>
      <c r="M10" t="s">
        <v>13</v>
      </c>
      <c r="P10" t="s">
        <v>253</v>
      </c>
      <c r="R10" t="s">
        <v>260</v>
      </c>
      <c r="V10" s="5" t="s">
        <v>91</v>
      </c>
      <c r="W10" s="5" t="s">
        <v>93</v>
      </c>
    </row>
    <row r="11" spans="1:23">
      <c r="B11">
        <f t="shared" si="0"/>
        <v>9</v>
      </c>
      <c r="C11" t="s">
        <v>12</v>
      </c>
      <c r="E11" t="s">
        <v>249</v>
      </c>
      <c r="K11" t="s">
        <v>225</v>
      </c>
      <c r="M11" t="s">
        <v>13</v>
      </c>
      <c r="P11" t="s">
        <v>254</v>
      </c>
      <c r="R11" t="s">
        <v>261</v>
      </c>
      <c r="V11" s="5" t="s">
        <v>89</v>
      </c>
      <c r="W11" s="5" t="s">
        <v>94</v>
      </c>
    </row>
    <row r="12" spans="1:23">
      <c r="B12">
        <f t="shared" si="0"/>
        <v>10</v>
      </c>
      <c r="C12" t="s">
        <v>37</v>
      </c>
      <c r="E12" t="s">
        <v>249</v>
      </c>
      <c r="J12" t="s">
        <v>38</v>
      </c>
      <c r="M12" t="s">
        <v>76</v>
      </c>
      <c r="P12" t="s">
        <v>255</v>
      </c>
      <c r="R12" t="s">
        <v>262</v>
      </c>
      <c r="V12" s="5" t="s">
        <v>95</v>
      </c>
      <c r="W12" s="5" t="s">
        <v>96</v>
      </c>
    </row>
    <row r="13" spans="1:23">
      <c r="B13">
        <f t="shared" si="0"/>
        <v>11</v>
      </c>
      <c r="C13" t="s">
        <v>141</v>
      </c>
      <c r="E13" t="s">
        <v>249</v>
      </c>
      <c r="M13" t="s">
        <v>142</v>
      </c>
      <c r="P13" t="s">
        <v>75</v>
      </c>
      <c r="R13" t="s">
        <v>75</v>
      </c>
      <c r="V13" s="5"/>
      <c r="W13" s="5"/>
    </row>
    <row r="14" spans="1:23">
      <c r="B14">
        <f t="shared" si="0"/>
        <v>12</v>
      </c>
      <c r="C14" t="s">
        <v>41</v>
      </c>
      <c r="K14" t="s">
        <v>79</v>
      </c>
      <c r="M14" t="s">
        <v>78</v>
      </c>
      <c r="P14" t="s">
        <v>49</v>
      </c>
      <c r="R14" t="s">
        <v>50</v>
      </c>
    </row>
    <row r="15" spans="1:23" ht="14.65" thickBot="1">
      <c r="B15">
        <f t="shared" si="0"/>
        <v>13</v>
      </c>
      <c r="C15" t="s">
        <v>42</v>
      </c>
      <c r="E15" s="4" t="str">
        <f>$E$7</f>
        <v>ELE,CHP</v>
      </c>
      <c r="M15" t="s">
        <v>77</v>
      </c>
      <c r="P15" t="s">
        <v>256</v>
      </c>
      <c r="R15" t="s">
        <v>263</v>
      </c>
    </row>
    <row r="16" spans="1:23" ht="14.65" thickTop="1">
      <c r="B16">
        <f t="shared" si="0"/>
        <v>14</v>
      </c>
      <c r="C16" t="s">
        <v>12</v>
      </c>
      <c r="F16" t="s">
        <v>82</v>
      </c>
      <c r="M16" t="s">
        <v>76</v>
      </c>
      <c r="P16" t="s">
        <v>83</v>
      </c>
      <c r="R16" t="s">
        <v>84</v>
      </c>
      <c r="S16" t="s">
        <v>85</v>
      </c>
    </row>
    <row r="17" spans="2:19">
      <c r="B17">
        <f t="shared" si="0"/>
        <v>15</v>
      </c>
      <c r="C17" t="s">
        <v>86</v>
      </c>
      <c r="M17" t="s">
        <v>87</v>
      </c>
      <c r="P17" t="s">
        <v>88</v>
      </c>
      <c r="R17" t="s">
        <v>90</v>
      </c>
      <c r="S17" t="s">
        <v>89</v>
      </c>
    </row>
    <row r="18" spans="2:19">
      <c r="B18">
        <f t="shared" si="0"/>
        <v>16</v>
      </c>
      <c r="C18" t="s">
        <v>12</v>
      </c>
      <c r="K18" t="s">
        <v>224</v>
      </c>
      <c r="M18" t="s">
        <v>13</v>
      </c>
      <c r="P18" t="s">
        <v>226</v>
      </c>
    </row>
  </sheetData>
  <mergeCells count="1">
    <mergeCell ref="V8:W8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97</v>
      </c>
    </row>
    <row r="2" spans="1:3">
      <c r="A2" t="s">
        <v>98</v>
      </c>
      <c r="B2" t="s">
        <v>99</v>
      </c>
      <c r="C2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9"/>
  <sheetViews>
    <sheetView workbookViewId="0"/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35</v>
      </c>
    </row>
    <row r="2" spans="1:6">
      <c r="A2" t="s">
        <v>36</v>
      </c>
      <c r="B2" t="s">
        <v>1</v>
      </c>
      <c r="C2" t="s">
        <v>19</v>
      </c>
    </row>
    <row r="3" spans="1:6">
      <c r="A3" t="s">
        <v>110</v>
      </c>
      <c r="B3" t="s">
        <v>127</v>
      </c>
      <c r="C3" t="str">
        <f>B3</f>
        <v>Biomass without CCS</v>
      </c>
      <c r="F3" s="3" t="str">
        <f>A3</f>
        <v>PWR-BIO</v>
      </c>
    </row>
    <row r="4" spans="1:6">
      <c r="A4" t="s">
        <v>111</v>
      </c>
      <c r="B4" t="s">
        <v>128</v>
      </c>
      <c r="C4" t="str">
        <f t="shared" ref="C4:C19" si="0">B4</f>
        <v>Biomass with CCS</v>
      </c>
      <c r="F4" s="3" t="str">
        <f>F3&amp;","&amp;A4</f>
        <v>PWR-BIO,PWR-BIO-CCS</v>
      </c>
    </row>
    <row r="5" spans="1:6">
      <c r="A5" t="s">
        <v>112</v>
      </c>
      <c r="B5" t="s">
        <v>129</v>
      </c>
      <c r="C5" t="str">
        <f t="shared" si="0"/>
        <v>Municipal Solid Waste</v>
      </c>
      <c r="F5" s="3" t="str">
        <f t="shared" ref="F5:F19" si="1">F4&amp;","&amp;A5</f>
        <v>PWR-BIO,PWR-BIO-CCS,PWR-MSW</v>
      </c>
    </row>
    <row r="6" spans="1:6">
      <c r="A6" t="s">
        <v>113</v>
      </c>
      <c r="B6" t="s">
        <v>130</v>
      </c>
      <c r="C6" t="str">
        <f t="shared" si="0"/>
        <v>Coal without CCS</v>
      </c>
      <c r="F6" s="3" t="str">
        <f t="shared" si="1"/>
        <v>PWR-BIO,PWR-BIO-CCS,PWR-MSW,PWR-COA</v>
      </c>
    </row>
    <row r="7" spans="1:6">
      <c r="A7" t="s">
        <v>114</v>
      </c>
      <c r="B7" t="s">
        <v>131</v>
      </c>
      <c r="C7" t="str">
        <f t="shared" si="0"/>
        <v>Coal with CCS</v>
      </c>
      <c r="F7" s="3" t="str">
        <f t="shared" si="1"/>
        <v>PWR-BIO,PWR-BIO-CCS,PWR-MSW,PWR-COA,PWR-COA-CCS</v>
      </c>
    </row>
    <row r="8" spans="1:6">
      <c r="A8" t="s">
        <v>115</v>
      </c>
      <c r="B8" t="s">
        <v>132</v>
      </c>
      <c r="C8" t="str">
        <f t="shared" si="0"/>
        <v>Peat without CCS</v>
      </c>
      <c r="F8" s="3" t="str">
        <f t="shared" si="1"/>
        <v>PWR-BIO,PWR-BIO-CCS,PWR-MSW,PWR-COA,PWR-COA-CCS,PWR-PEA</v>
      </c>
    </row>
    <row r="9" spans="1:6">
      <c r="A9" t="s">
        <v>116</v>
      </c>
      <c r="B9" t="s">
        <v>133</v>
      </c>
      <c r="C9" t="str">
        <f t="shared" si="0"/>
        <v>Peat with CCS</v>
      </c>
      <c r="F9" s="3" t="str">
        <f t="shared" si="1"/>
        <v>PWR-BIO,PWR-BIO-CCS,PWR-MSW,PWR-COA,PWR-COA-CCS,PWR-PEA,PWR-PEA-CCS</v>
      </c>
    </row>
    <row r="10" spans="1:6">
      <c r="A10" t="s">
        <v>117</v>
      </c>
      <c r="B10" t="s">
        <v>134</v>
      </c>
      <c r="C10" t="str">
        <f t="shared" si="0"/>
        <v>Gas without CCS</v>
      </c>
      <c r="F10" s="3" t="str">
        <f t="shared" si="1"/>
        <v>PWR-BIO,PWR-BIO-CCS,PWR-MSW,PWR-COA,PWR-COA-CCS,PWR-PEA,PWR-PEA-CCS,PWR-GAS</v>
      </c>
    </row>
    <row r="11" spans="1:6">
      <c r="A11" t="s">
        <v>118</v>
      </c>
      <c r="B11" t="s">
        <v>135</v>
      </c>
      <c r="C11" t="str">
        <f t="shared" si="0"/>
        <v>Gas with CCS</v>
      </c>
      <c r="F11" s="3" t="str">
        <f t="shared" si="1"/>
        <v>PWR-BIO,PWR-BIO-CCS,PWR-MSW,PWR-COA,PWR-COA-CCS,PWR-PEA,PWR-PEA-CCS,PWR-GAS,PWR-GAS-CCS</v>
      </c>
    </row>
    <row r="12" spans="1:6">
      <c r="A12" t="s">
        <v>119</v>
      </c>
      <c r="B12" t="s">
        <v>136</v>
      </c>
      <c r="C12" t="str">
        <f t="shared" si="0"/>
        <v>Hydrogen</v>
      </c>
      <c r="F12" s="3" t="str">
        <f t="shared" si="1"/>
        <v>PWR-BIO,PWR-BIO-CCS,PWR-MSW,PWR-COA,PWR-COA-CCS,PWR-PEA,PWR-PEA-CCS,PWR-GAS,PWR-GAS-CCS,PWR-H2</v>
      </c>
    </row>
    <row r="13" spans="1:6">
      <c r="A13" t="s">
        <v>120</v>
      </c>
      <c r="B13" t="s">
        <v>5</v>
      </c>
      <c r="C13" t="str">
        <f t="shared" si="0"/>
        <v>Hydro</v>
      </c>
      <c r="F13" s="3" t="str">
        <f t="shared" si="1"/>
        <v>PWR-BIO,PWR-BIO-CCS,PWR-MSW,PWR-COA,PWR-COA-CCS,PWR-PEA,PWR-PEA-CCS,PWR-GAS,PWR-GAS-CCS,PWR-H2,PWR-HYD</v>
      </c>
    </row>
    <row r="14" spans="1:6">
      <c r="A14" t="s">
        <v>121</v>
      </c>
      <c r="B14" t="s">
        <v>137</v>
      </c>
      <c r="C14" t="str">
        <f t="shared" si="0"/>
        <v>Wave and Tidal</v>
      </c>
      <c r="F14" s="3" t="str">
        <f t="shared" si="1"/>
        <v>PWR-BIO,PWR-BIO-CCS,PWR-MSW,PWR-COA,PWR-COA-CCS,PWR-PEA,PWR-PEA-CCS,PWR-GAS,PWR-GAS-CCS,PWR-H2,PWR-HYD,PWR-OCE</v>
      </c>
    </row>
    <row r="15" spans="1:6">
      <c r="A15" t="s">
        <v>122</v>
      </c>
      <c r="B15" t="s">
        <v>6</v>
      </c>
      <c r="C15" t="str">
        <f t="shared" si="0"/>
        <v>Oil</v>
      </c>
      <c r="F15" s="3" t="str">
        <f t="shared" si="1"/>
        <v>PWR-BIO,PWR-BIO-CCS,PWR-MSW,PWR-COA,PWR-COA-CCS,PWR-PEA,PWR-PEA-CCS,PWR-GAS,PWR-GAS-CCS,PWR-H2,PWR-HYD,PWR-OCE,PWR-OIL</v>
      </c>
    </row>
    <row r="16" spans="1:6">
      <c r="A16" t="s">
        <v>123</v>
      </c>
      <c r="B16" t="s">
        <v>7</v>
      </c>
      <c r="C16" t="str">
        <f t="shared" si="0"/>
        <v>Solar</v>
      </c>
      <c r="F16" s="3" t="str">
        <f t="shared" si="1"/>
        <v>PWR-BIO,PWR-BIO-CCS,PWR-MSW,PWR-COA,PWR-COA-CCS,PWR-PEA,PWR-PEA-CCS,PWR-GAS,PWR-GAS-CCS,PWR-H2,PWR-HYD,PWR-OCE,PWR-OIL,PWR-SOL</v>
      </c>
    </row>
    <row r="17" spans="1:6">
      <c r="A17" t="s">
        <v>124</v>
      </c>
      <c r="B17" t="s">
        <v>138</v>
      </c>
      <c r="C17" t="str">
        <f t="shared" si="0"/>
        <v>Wind offshore</v>
      </c>
      <c r="F17" s="3" t="str">
        <f t="shared" si="1"/>
        <v>PWR-BIO,PWR-BIO-CCS,PWR-MSW,PWR-COA,PWR-COA-CCS,PWR-PEA,PWR-PEA-CCS,PWR-GAS,PWR-GAS-CCS,PWR-H2,PWR-HYD,PWR-OCE,PWR-OIL,PWR-SOL,PWR-WIN-OF</v>
      </c>
    </row>
    <row r="18" spans="1:6">
      <c r="A18" t="s">
        <v>125</v>
      </c>
      <c r="B18" t="s">
        <v>139</v>
      </c>
      <c r="C18" t="str">
        <f t="shared" si="0"/>
        <v>Wind onshore</v>
      </c>
      <c r="F18" s="3" t="str">
        <f t="shared" si="1"/>
        <v>PWR-BIO,PWR-BIO-CCS,PWR-MSW,PWR-COA,PWR-COA-CCS,PWR-PEA,PWR-PEA-CCS,PWR-GAS,PWR-GAS-CCS,PWR-H2,PWR-HYD,PWR-OCE,PWR-OIL,PWR-SOL,PWR-WIN-OF,PWR-WIN-ON</v>
      </c>
    </row>
    <row r="19" spans="1:6">
      <c r="A19" t="s">
        <v>126</v>
      </c>
      <c r="B19" t="s">
        <v>140</v>
      </c>
      <c r="C19" t="str">
        <f t="shared" si="0"/>
        <v>Geothermal</v>
      </c>
      <c r="F19" s="3" t="str">
        <f t="shared" si="1"/>
        <v>PWR-BIO,PWR-BIO-CCS,PWR-MSW,PWR-COA,PWR-COA-CCS,PWR-PEA,PWR-PEA-CCS,PWR-GAS,PWR-GAS-CCS,PWR-H2,PWR-HYD,PWR-OCE,PWR-OIL,PWR-SOL,PWR-WIN-OF,PWR-WIN-ON,PWR-GEO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2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39</v>
      </c>
    </row>
    <row r="2" spans="1:3">
      <c r="A2" t="s">
        <v>40</v>
      </c>
      <c r="B2" t="s">
        <v>1</v>
      </c>
      <c r="C2" t="s">
        <v>19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>
      <selection activeCell="A3" sqref="A3"/>
    </sheetView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145</v>
      </c>
    </row>
    <row r="2" spans="1:10">
      <c r="A2" t="s">
        <v>98</v>
      </c>
      <c r="B2" t="s">
        <v>99</v>
      </c>
      <c r="C2" t="s">
        <v>100</v>
      </c>
      <c r="D2" t="s">
        <v>242</v>
      </c>
      <c r="I2" t="s">
        <v>146</v>
      </c>
    </row>
    <row r="3" spans="1:10">
      <c r="A3" t="s">
        <v>192</v>
      </c>
      <c r="B3" t="str">
        <f>"T-"&amp;I3&amp;"*"</f>
        <v>T-AVI*</v>
      </c>
      <c r="C3" t="str">
        <f>J3</f>
        <v>aviation</v>
      </c>
      <c r="I3" t="s">
        <v>148</v>
      </c>
      <c r="J3" t="s">
        <v>149</v>
      </c>
    </row>
    <row r="4" spans="1:10">
      <c r="A4" t="s">
        <v>192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152</v>
      </c>
      <c r="J4" t="s">
        <v>153</v>
      </c>
    </row>
    <row r="5" spans="1:10">
      <c r="A5" t="s">
        <v>192</v>
      </c>
      <c r="B5" t="str">
        <f t="shared" si="0"/>
        <v>T-CAR*</v>
      </c>
      <c r="C5" t="str">
        <f t="shared" si="1"/>
        <v>car</v>
      </c>
      <c r="I5" t="s">
        <v>156</v>
      </c>
      <c r="J5" t="s">
        <v>157</v>
      </c>
    </row>
    <row r="6" spans="1:10">
      <c r="A6" t="s">
        <v>192</v>
      </c>
      <c r="B6" t="str">
        <f t="shared" si="0"/>
        <v>T-CYC*</v>
      </c>
      <c r="C6" t="str">
        <f t="shared" si="1"/>
        <v>cycle</v>
      </c>
      <c r="I6" t="s">
        <v>159</v>
      </c>
      <c r="J6" t="s">
        <v>160</v>
      </c>
    </row>
    <row r="7" spans="1:10">
      <c r="A7" t="s">
        <v>192</v>
      </c>
      <c r="B7" t="str">
        <f t="shared" si="0"/>
        <v>T-GTR*</v>
      </c>
      <c r="C7" t="str">
        <f t="shared" si="1"/>
        <v>goods train</v>
      </c>
      <c r="I7" t="s">
        <v>162</v>
      </c>
      <c r="J7" t="s">
        <v>163</v>
      </c>
    </row>
    <row r="8" spans="1:10">
      <c r="A8" t="s">
        <v>192</v>
      </c>
      <c r="B8" t="str">
        <f t="shared" si="0"/>
        <v>T-HGT*</v>
      </c>
      <c r="C8" t="str">
        <f t="shared" si="1"/>
        <v>heavy truck</v>
      </c>
      <c r="I8" t="s">
        <v>165</v>
      </c>
      <c r="J8" t="s">
        <v>166</v>
      </c>
    </row>
    <row r="9" spans="1:10">
      <c r="A9" t="s">
        <v>192</v>
      </c>
      <c r="B9" t="str">
        <f t="shared" si="0"/>
        <v>T-HPT*</v>
      </c>
      <c r="C9" t="str">
        <f t="shared" si="1"/>
        <v>heavy pass train</v>
      </c>
      <c r="I9" t="s">
        <v>168</v>
      </c>
      <c r="J9" t="s">
        <v>169</v>
      </c>
    </row>
    <row r="10" spans="1:10">
      <c r="A10" t="s">
        <v>192</v>
      </c>
      <c r="B10" t="str">
        <f t="shared" si="0"/>
        <v>T-LGT*</v>
      </c>
      <c r="C10" t="str">
        <f t="shared" si="1"/>
        <v>light truck</v>
      </c>
      <c r="I10" t="s">
        <v>171</v>
      </c>
      <c r="J10" t="s">
        <v>172</v>
      </c>
    </row>
    <row r="11" spans="1:10">
      <c r="A11" t="s">
        <v>192</v>
      </c>
      <c r="B11" t="str">
        <f t="shared" si="0"/>
        <v>T-LPT*</v>
      </c>
      <c r="C11" t="str">
        <f t="shared" si="1"/>
        <v>light pass train</v>
      </c>
      <c r="I11" t="s">
        <v>173</v>
      </c>
      <c r="J11" t="s">
        <v>174</v>
      </c>
    </row>
    <row r="12" spans="1:10">
      <c r="A12" t="s">
        <v>192</v>
      </c>
      <c r="B12" t="str">
        <f t="shared" si="0"/>
        <v>T-MGT*</v>
      </c>
      <c r="C12" t="str">
        <f t="shared" si="1"/>
        <v>med truck</v>
      </c>
      <c r="I12" t="s">
        <v>176</v>
      </c>
      <c r="J12" t="s">
        <v>177</v>
      </c>
    </row>
    <row r="13" spans="1:10">
      <c r="A13" t="s">
        <v>192</v>
      </c>
      <c r="B13" t="str">
        <f t="shared" si="0"/>
        <v>T-MOT*</v>
      </c>
      <c r="C13" t="str">
        <f t="shared" si="1"/>
        <v>moto</v>
      </c>
      <c r="I13" t="s">
        <v>179</v>
      </c>
      <c r="J13" t="s">
        <v>180</v>
      </c>
    </row>
    <row r="14" spans="1:10">
      <c r="A14" t="s">
        <v>192</v>
      </c>
      <c r="B14" t="str">
        <f t="shared" si="0"/>
        <v>T-NAV*</v>
      </c>
      <c r="C14" t="str">
        <f t="shared" si="1"/>
        <v>navigation</v>
      </c>
      <c r="I14" t="s">
        <v>182</v>
      </c>
      <c r="J14" t="s">
        <v>183</v>
      </c>
    </row>
    <row r="15" spans="1:10">
      <c r="A15" t="s">
        <v>192</v>
      </c>
      <c r="B15" t="str">
        <f t="shared" si="0"/>
        <v>T-TAX*</v>
      </c>
      <c r="C15" t="str">
        <f t="shared" si="1"/>
        <v>taxi</v>
      </c>
      <c r="I15" t="s">
        <v>185</v>
      </c>
      <c r="J15" t="s">
        <v>186</v>
      </c>
    </row>
    <row r="16" spans="1:10">
      <c r="A16" t="s">
        <v>192</v>
      </c>
      <c r="B16" t="str">
        <f t="shared" si="0"/>
        <v>T-TUR*</v>
      </c>
      <c r="C16" t="str">
        <f t="shared" si="1"/>
        <v>tourism</v>
      </c>
      <c r="I16" t="s">
        <v>187</v>
      </c>
      <c r="J16" t="s">
        <v>188</v>
      </c>
    </row>
    <row r="17" spans="1:10">
      <c r="A17" t="s">
        <v>192</v>
      </c>
      <c r="B17" t="str">
        <f t="shared" si="0"/>
        <v>T-OTH*</v>
      </c>
      <c r="C17" t="str">
        <f t="shared" si="1"/>
        <v>other</v>
      </c>
      <c r="I17" t="s">
        <v>189</v>
      </c>
      <c r="J17" t="s">
        <v>190</v>
      </c>
    </row>
    <row r="18" spans="1:10">
      <c r="A18" t="s">
        <v>192</v>
      </c>
      <c r="B18" t="str">
        <f t="shared" si="0"/>
        <v>T-WLK*</v>
      </c>
      <c r="C18" t="str">
        <f t="shared" si="1"/>
        <v>walk</v>
      </c>
      <c r="I18" t="s">
        <v>184</v>
      </c>
      <c r="J18" t="s">
        <v>191</v>
      </c>
    </row>
    <row r="19" spans="1:10">
      <c r="A19" t="s">
        <v>147</v>
      </c>
      <c r="B19" t="str">
        <f>"*"&amp;I19&amp;"*"</f>
        <v>*EV_*</v>
      </c>
      <c r="C19" t="str">
        <f>J19</f>
        <v>EV_</v>
      </c>
      <c r="I19" t="s">
        <v>175</v>
      </c>
      <c r="J19" t="s">
        <v>175</v>
      </c>
    </row>
    <row r="20" spans="1:10">
      <c r="A20" t="s">
        <v>147</v>
      </c>
      <c r="B20" t="str">
        <f>"*"&amp;I20&amp;"*"</f>
        <v>*DOM*</v>
      </c>
      <c r="C20" t="str">
        <f>J20</f>
        <v>domestic</v>
      </c>
      <c r="I20" t="s">
        <v>150</v>
      </c>
      <c r="J20" t="s">
        <v>151</v>
      </c>
    </row>
    <row r="21" spans="1:10">
      <c r="A21" t="s">
        <v>147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154</v>
      </c>
      <c r="J21" t="s">
        <v>155</v>
      </c>
    </row>
    <row r="22" spans="1:10">
      <c r="A22" t="s">
        <v>147</v>
      </c>
      <c r="B22" t="str">
        <f t="shared" si="2"/>
        <v>*BEV*</v>
      </c>
      <c r="C22" t="str">
        <f t="shared" si="3"/>
        <v>BEV</v>
      </c>
      <c r="I22" t="s">
        <v>158</v>
      </c>
      <c r="J22" t="s">
        <v>158</v>
      </c>
    </row>
    <row r="23" spans="1:10">
      <c r="A23" t="s">
        <v>147</v>
      </c>
      <c r="B23" t="str">
        <f t="shared" si="2"/>
        <v>*ICE*</v>
      </c>
      <c r="C23" t="str">
        <f t="shared" si="3"/>
        <v>ICE</v>
      </c>
      <c r="I23" t="s">
        <v>161</v>
      </c>
      <c r="J23" t="s">
        <v>161</v>
      </c>
    </row>
    <row r="24" spans="1:10">
      <c r="A24" t="s">
        <v>147</v>
      </c>
      <c r="B24" t="str">
        <f t="shared" si="2"/>
        <v>*FCV*</v>
      </c>
      <c r="C24" t="str">
        <f t="shared" si="3"/>
        <v>FCV</v>
      </c>
      <c r="I24" t="s">
        <v>164</v>
      </c>
      <c r="J24" t="s">
        <v>164</v>
      </c>
    </row>
    <row r="25" spans="1:10">
      <c r="A25" t="s">
        <v>147</v>
      </c>
      <c r="B25" t="str">
        <f t="shared" si="2"/>
        <v>*HEV*</v>
      </c>
      <c r="C25" t="str">
        <f t="shared" si="3"/>
        <v>HEV</v>
      </c>
      <c r="I25" t="s">
        <v>167</v>
      </c>
      <c r="J25" t="s">
        <v>167</v>
      </c>
    </row>
    <row r="26" spans="1:10">
      <c r="A26" t="s">
        <v>147</v>
      </c>
      <c r="B26" t="str">
        <f t="shared" si="2"/>
        <v>*PHE*</v>
      </c>
      <c r="C26" t="str">
        <f t="shared" si="3"/>
        <v>PHE</v>
      </c>
      <c r="I26" t="s">
        <v>170</v>
      </c>
      <c r="J26" t="s">
        <v>170</v>
      </c>
    </row>
    <row r="27" spans="1:10">
      <c r="A27" t="s">
        <v>147</v>
      </c>
      <c r="B27" t="str">
        <f t="shared" si="2"/>
        <v>*CYC*</v>
      </c>
      <c r="C27" t="str">
        <f t="shared" si="3"/>
        <v>CYC</v>
      </c>
      <c r="I27" t="s">
        <v>159</v>
      </c>
      <c r="J27" t="s">
        <v>159</v>
      </c>
    </row>
    <row r="28" spans="1:10">
      <c r="A28" t="s">
        <v>147</v>
      </c>
      <c r="B28" t="str">
        <f t="shared" si="2"/>
        <v>*NEW*</v>
      </c>
      <c r="C28" t="str">
        <f t="shared" si="3"/>
        <v>NEW</v>
      </c>
      <c r="I28" t="s">
        <v>178</v>
      </c>
      <c r="J28" t="s">
        <v>178</v>
      </c>
    </row>
    <row r="29" spans="1:10">
      <c r="A29" t="s">
        <v>147</v>
      </c>
      <c r="B29" t="str">
        <f t="shared" si="2"/>
        <v>*CON*</v>
      </c>
      <c r="C29" t="str">
        <f t="shared" si="3"/>
        <v>CON</v>
      </c>
      <c r="I29" t="s">
        <v>181</v>
      </c>
      <c r="J29" t="s">
        <v>181</v>
      </c>
    </row>
    <row r="30" spans="1:10">
      <c r="A30" t="s">
        <v>147</v>
      </c>
      <c r="B30" t="str">
        <f t="shared" si="2"/>
        <v>*WLK*</v>
      </c>
      <c r="C30" t="str">
        <f t="shared" si="3"/>
        <v>WLK</v>
      </c>
      <c r="I30" t="s">
        <v>184</v>
      </c>
      <c r="J30" t="s">
        <v>184</v>
      </c>
    </row>
    <row r="31" spans="1:10">
      <c r="A31" t="s">
        <v>147</v>
      </c>
      <c r="C31" t="s">
        <v>127</v>
      </c>
      <c r="D31" t="s">
        <v>110</v>
      </c>
    </row>
    <row r="32" spans="1:10">
      <c r="A32" t="s">
        <v>147</v>
      </c>
      <c r="C32" t="s">
        <v>128</v>
      </c>
      <c r="D32" t="s">
        <v>111</v>
      </c>
    </row>
    <row r="33" spans="1:4">
      <c r="A33" t="s">
        <v>147</v>
      </c>
      <c r="C33" t="s">
        <v>129</v>
      </c>
      <c r="D33" t="s">
        <v>112</v>
      </c>
    </row>
    <row r="34" spans="1:4">
      <c r="A34" t="s">
        <v>147</v>
      </c>
      <c r="C34" t="s">
        <v>130</v>
      </c>
      <c r="D34" t="s">
        <v>113</v>
      </c>
    </row>
    <row r="35" spans="1:4">
      <c r="A35" t="s">
        <v>147</v>
      </c>
      <c r="C35" t="s">
        <v>131</v>
      </c>
      <c r="D35" t="s">
        <v>114</v>
      </c>
    </row>
    <row r="36" spans="1:4">
      <c r="A36" t="s">
        <v>147</v>
      </c>
      <c r="C36" t="s">
        <v>132</v>
      </c>
      <c r="D36" t="s">
        <v>115</v>
      </c>
    </row>
    <row r="37" spans="1:4">
      <c r="A37" t="s">
        <v>147</v>
      </c>
      <c r="C37" t="s">
        <v>133</v>
      </c>
      <c r="D37" t="s">
        <v>116</v>
      </c>
    </row>
    <row r="38" spans="1:4">
      <c r="A38" t="s">
        <v>147</v>
      </c>
      <c r="C38" t="s">
        <v>134</v>
      </c>
      <c r="D38" t="s">
        <v>117</v>
      </c>
    </row>
    <row r="39" spans="1:4">
      <c r="A39" t="s">
        <v>147</v>
      </c>
      <c r="C39" t="s">
        <v>135</v>
      </c>
      <c r="D39" t="s">
        <v>118</v>
      </c>
    </row>
    <row r="40" spans="1:4">
      <c r="A40" t="s">
        <v>147</v>
      </c>
      <c r="C40" t="s">
        <v>136</v>
      </c>
      <c r="D40" t="s">
        <v>119</v>
      </c>
    </row>
    <row r="41" spans="1:4">
      <c r="A41" t="s">
        <v>147</v>
      </c>
      <c r="C41" t="s">
        <v>5</v>
      </c>
      <c r="D41" t="s">
        <v>120</v>
      </c>
    </row>
    <row r="42" spans="1:4">
      <c r="A42" t="s">
        <v>147</v>
      </c>
      <c r="C42" t="s">
        <v>137</v>
      </c>
      <c r="D42" t="s">
        <v>121</v>
      </c>
    </row>
    <row r="43" spans="1:4">
      <c r="A43" t="s">
        <v>147</v>
      </c>
      <c r="C43" t="s">
        <v>6</v>
      </c>
      <c r="D43" t="s">
        <v>122</v>
      </c>
    </row>
    <row r="44" spans="1:4">
      <c r="A44" t="s">
        <v>147</v>
      </c>
      <c r="C44" t="s">
        <v>7</v>
      </c>
      <c r="D44" t="s">
        <v>123</v>
      </c>
    </row>
    <row r="45" spans="1:4">
      <c r="A45" t="s">
        <v>147</v>
      </c>
      <c r="C45" t="s">
        <v>138</v>
      </c>
      <c r="D45" t="s">
        <v>124</v>
      </c>
    </row>
    <row r="46" spans="1:4">
      <c r="A46" t="s">
        <v>147</v>
      </c>
      <c r="C46" t="s">
        <v>139</v>
      </c>
      <c r="D46" t="s">
        <v>125</v>
      </c>
    </row>
    <row r="47" spans="1:4">
      <c r="A47" t="s">
        <v>147</v>
      </c>
      <c r="C47" t="s">
        <v>140</v>
      </c>
      <c r="D47" t="s">
        <v>126</v>
      </c>
    </row>
    <row r="48" spans="1:4">
      <c r="A48" t="s">
        <v>147</v>
      </c>
      <c r="C48" t="s">
        <v>246</v>
      </c>
      <c r="D48" t="s">
        <v>243</v>
      </c>
    </row>
    <row r="49" spans="1:4">
      <c r="A49" t="s">
        <v>147</v>
      </c>
      <c r="C49" t="s">
        <v>247</v>
      </c>
      <c r="D49" t="s">
        <v>244</v>
      </c>
    </row>
    <row r="50" spans="1:4">
      <c r="A50" t="s">
        <v>147</v>
      </c>
      <c r="C50" t="s">
        <v>248</v>
      </c>
      <c r="D50" t="s">
        <v>245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C22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3">
      <c r="A1" t="s">
        <v>221</v>
      </c>
    </row>
    <row r="2" spans="1:3">
      <c r="A2" t="s">
        <v>98</v>
      </c>
      <c r="B2" t="s">
        <v>99</v>
      </c>
      <c r="C2" t="s">
        <v>100</v>
      </c>
    </row>
    <row r="3" spans="1:3">
      <c r="A3" t="s">
        <v>220</v>
      </c>
      <c r="B3" t="s">
        <v>209</v>
      </c>
      <c r="C3" t="s">
        <v>199</v>
      </c>
    </row>
    <row r="4" spans="1:3">
      <c r="A4" t="s">
        <v>220</v>
      </c>
      <c r="B4" t="s">
        <v>210</v>
      </c>
      <c r="C4" t="s">
        <v>200</v>
      </c>
    </row>
    <row r="5" spans="1:3">
      <c r="A5" t="s">
        <v>220</v>
      </c>
      <c r="B5" t="s">
        <v>211</v>
      </c>
      <c r="C5" t="s">
        <v>201</v>
      </c>
    </row>
    <row r="6" spans="1:3">
      <c r="A6" t="s">
        <v>220</v>
      </c>
      <c r="B6" t="s">
        <v>212</v>
      </c>
      <c r="C6" t="s">
        <v>202</v>
      </c>
    </row>
    <row r="7" spans="1:3">
      <c r="A7" t="s">
        <v>220</v>
      </c>
      <c r="B7" t="s">
        <v>213</v>
      </c>
      <c r="C7" t="s">
        <v>203</v>
      </c>
    </row>
    <row r="8" spans="1:3">
      <c r="A8" t="s">
        <v>220</v>
      </c>
      <c r="B8" t="s">
        <v>214</v>
      </c>
      <c r="C8" t="s">
        <v>101</v>
      </c>
    </row>
    <row r="9" spans="1:3">
      <c r="A9" t="s">
        <v>220</v>
      </c>
      <c r="B9" t="s">
        <v>215</v>
      </c>
      <c r="C9" t="s">
        <v>204</v>
      </c>
    </row>
    <row r="10" spans="1:3">
      <c r="A10" t="s">
        <v>220</v>
      </c>
      <c r="B10" t="s">
        <v>216</v>
      </c>
      <c r="C10" t="s">
        <v>205</v>
      </c>
    </row>
    <row r="11" spans="1:3">
      <c r="A11" t="s">
        <v>220</v>
      </c>
      <c r="B11" t="s">
        <v>217</v>
      </c>
      <c r="C11" t="s">
        <v>206</v>
      </c>
    </row>
    <row r="12" spans="1:3">
      <c r="A12" t="s">
        <v>220</v>
      </c>
      <c r="B12" t="s">
        <v>218</v>
      </c>
      <c r="C12" t="s">
        <v>207</v>
      </c>
    </row>
    <row r="13" spans="1:3">
      <c r="A13" t="s">
        <v>220</v>
      </c>
      <c r="B13" t="s">
        <v>219</v>
      </c>
      <c r="C13" t="s">
        <v>208</v>
      </c>
    </row>
    <row r="14" spans="1:3">
      <c r="A14" t="s">
        <v>102</v>
      </c>
      <c r="B14" t="s">
        <v>227</v>
      </c>
      <c r="C14" t="s">
        <v>233</v>
      </c>
    </row>
    <row r="15" spans="1:3">
      <c r="A15" t="s">
        <v>102</v>
      </c>
      <c r="B15" t="s">
        <v>228</v>
      </c>
      <c r="C15" t="s">
        <v>234</v>
      </c>
    </row>
    <row r="16" spans="1:3">
      <c r="A16" t="s">
        <v>102</v>
      </c>
      <c r="B16" t="s">
        <v>229</v>
      </c>
      <c r="C16" t="s">
        <v>75</v>
      </c>
    </row>
    <row r="17" spans="1:3">
      <c r="A17" t="s">
        <v>102</v>
      </c>
      <c r="B17" t="s">
        <v>230</v>
      </c>
      <c r="C17" t="s">
        <v>3</v>
      </c>
    </row>
    <row r="18" spans="1:3">
      <c r="A18" t="s">
        <v>102</v>
      </c>
      <c r="B18" t="s">
        <v>231</v>
      </c>
      <c r="C18" t="s">
        <v>10</v>
      </c>
    </row>
    <row r="19" spans="1:3">
      <c r="A19" t="s">
        <v>102</v>
      </c>
      <c r="B19" t="s">
        <v>232</v>
      </c>
      <c r="C19" t="s">
        <v>4</v>
      </c>
    </row>
    <row r="20" spans="1:3">
      <c r="A20" t="s">
        <v>235</v>
      </c>
      <c r="B20" t="s">
        <v>236</v>
      </c>
      <c r="C20" t="s">
        <v>237</v>
      </c>
    </row>
    <row r="21" spans="1:3">
      <c r="A21" t="s">
        <v>235</v>
      </c>
      <c r="B21" t="s">
        <v>238</v>
      </c>
      <c r="C21" t="s">
        <v>239</v>
      </c>
    </row>
    <row r="22" spans="1:3">
      <c r="A22" t="s">
        <v>235</v>
      </c>
      <c r="B22" t="s">
        <v>240</v>
      </c>
      <c r="C22" t="s">
        <v>241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71</v>
      </c>
    </row>
    <row r="2" spans="1:7">
      <c r="A2" t="s">
        <v>44</v>
      </c>
      <c r="B2" t="s">
        <v>17</v>
      </c>
      <c r="C2" t="s">
        <v>72</v>
      </c>
      <c r="D2" t="s">
        <v>9</v>
      </c>
      <c r="E2" t="s">
        <v>0</v>
      </c>
      <c r="F2" t="s">
        <v>73</v>
      </c>
      <c r="G2" t="s">
        <v>74</v>
      </c>
    </row>
    <row r="3" spans="1:7">
      <c r="F3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3"/>
  <sheetViews>
    <sheetView zoomScaleNormal="100" workbookViewId="0">
      <selection activeCell="D3" sqref="D3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43</v>
      </c>
    </row>
    <row r="2" spans="1:4">
      <c r="A2" t="s">
        <v>44</v>
      </c>
      <c r="B2" s="1" t="s">
        <v>45</v>
      </c>
      <c r="C2" s="1" t="s">
        <v>46</v>
      </c>
      <c r="D2" s="1" t="s">
        <v>47</v>
      </c>
    </row>
    <row r="3" spans="1:4">
      <c r="A3" t="s">
        <v>143</v>
      </c>
      <c r="B3" t="s">
        <v>144</v>
      </c>
      <c r="C3" t="s">
        <v>16</v>
      </c>
      <c r="D3">
        <f>1/31.536</f>
        <v>3.1709791983764585E-2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ScenMap</vt:lpstr>
      <vt:lpstr>TS_Defs</vt:lpstr>
      <vt:lpstr>varbl map</vt:lpstr>
      <vt:lpstr>PSet_MAP coarse</vt:lpstr>
      <vt:lpstr>CName_MAP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2026-09-20T09:55:03Z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