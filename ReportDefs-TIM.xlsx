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times-ireland-model_main\"/>
    </mc:Choice>
  </mc:AlternateContent>
  <xr:revisionPtr revIDLastSave="0" documentId="13_ncr:1_{DBB2C038-7B9C-4641-96FA-5D7168BB48E4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cenMap" sheetId="56" r:id="rId1"/>
    <sheet name="TS_Defs" sheetId="27" r:id="rId2"/>
    <sheet name="Sankey" sheetId="65" r:id="rId3"/>
    <sheet name="Sankey RSD" sheetId="73" r:id="rId4"/>
    <sheet name="Sankey SRV" sheetId="74" r:id="rId5"/>
    <sheet name="PSet_MAP coarse" sheetId="57" r:id="rId6"/>
    <sheet name="CName_MAP" sheetId="58" r:id="rId7"/>
    <sheet name="varbl map" sheetId="64" r:id="rId8"/>
    <sheet name="process map" sheetId="24" r:id="rId9"/>
    <sheet name="commodity map" sheetId="49" r:id="rId10"/>
    <sheet name="ATS" sheetId="63" r:id="rId11"/>
    <sheet name="UnitConv" sheetId="59" r:id="rId12"/>
    <sheet name="process map TIM" sheetId="69" r:id="rId13"/>
    <sheet name="commodity map TIM" sheetId="70" r:id="rId14"/>
    <sheet name="varbl map TIM" sheetId="71" r:id="rId15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65" l="1"/>
  <c r="J15" i="65"/>
  <c r="H15" i="65"/>
  <c r="J12" i="65"/>
  <c r="F7" i="58"/>
  <c r="F8" i="58" s="1"/>
  <c r="F9" i="58" s="1"/>
  <c r="F10" i="58" s="1"/>
  <c r="F11" i="58" s="1"/>
  <c r="F3" i="58"/>
  <c r="F4" i="58" s="1"/>
  <c r="F5" i="58" s="1"/>
  <c r="F6" i="58" s="1"/>
  <c r="F3" i="57"/>
  <c r="B21" i="24"/>
  <c r="B22" i="24"/>
  <c r="B23" i="24"/>
  <c r="B24" i="24"/>
  <c r="B25" i="24"/>
  <c r="B26" i="24"/>
  <c r="B27" i="24"/>
  <c r="B19" i="24"/>
  <c r="B28" i="24"/>
  <c r="B29" i="24"/>
  <c r="B30" i="24"/>
  <c r="B20" i="24"/>
  <c r="C30" i="24"/>
  <c r="C29" i="24"/>
  <c r="C28" i="24"/>
  <c r="C19" i="24"/>
  <c r="C27" i="24"/>
  <c r="C26" i="24"/>
  <c r="C25" i="24"/>
  <c r="C24" i="24"/>
  <c r="C23" i="24"/>
  <c r="C22" i="24"/>
  <c r="C21" i="24"/>
  <c r="C20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D3" i="59"/>
  <c r="C8" i="57" l="1"/>
  <c r="C7" i="57"/>
  <c r="C6" i="57"/>
  <c r="C5" i="57"/>
  <c r="C4" i="57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6" i="56"/>
  <c r="M5" i="56"/>
  <c r="L5" i="56"/>
  <c r="R139" i="56"/>
  <c r="S139" i="56"/>
  <c r="T139" i="56"/>
  <c r="U139" i="56"/>
  <c r="V139" i="56"/>
  <c r="V149" i="56"/>
  <c r="U149" i="56"/>
  <c r="T149" i="56"/>
  <c r="H149" i="56" s="1"/>
  <c r="C149" i="56" s="1"/>
  <c r="D149" i="56" s="1"/>
  <c r="E149" i="56" s="1"/>
  <c r="S149" i="56"/>
  <c r="R149" i="56"/>
  <c r="V148" i="56"/>
  <c r="U148" i="56"/>
  <c r="T148" i="56"/>
  <c r="R148" i="56"/>
  <c r="S148" i="56"/>
  <c r="V147" i="56"/>
  <c r="H147" i="56" s="1"/>
  <c r="C147" i="56" s="1"/>
  <c r="D147" i="56" s="1"/>
  <c r="E147" i="56" s="1"/>
  <c r="U147" i="56"/>
  <c r="T147" i="56"/>
  <c r="R147" i="56"/>
  <c r="S147" i="56"/>
  <c r="V146" i="56"/>
  <c r="U146" i="56"/>
  <c r="T146" i="56"/>
  <c r="S146" i="56"/>
  <c r="R146" i="56"/>
  <c r="V145" i="56"/>
  <c r="U145" i="56"/>
  <c r="H145" i="56" s="1"/>
  <c r="C145" i="56" s="1"/>
  <c r="D145" i="56" s="1"/>
  <c r="E145" i="56" s="1"/>
  <c r="T145" i="56"/>
  <c r="S145" i="56"/>
  <c r="R145" i="56"/>
  <c r="V144" i="56"/>
  <c r="U144" i="56"/>
  <c r="T144" i="56"/>
  <c r="S144" i="56"/>
  <c r="R144" i="56"/>
  <c r="H144" i="56" s="1"/>
  <c r="C144" i="56" s="1"/>
  <c r="D144" i="56" s="1"/>
  <c r="E144" i="56" s="1"/>
  <c r="V143" i="56"/>
  <c r="U143" i="56"/>
  <c r="T143" i="56"/>
  <c r="R143" i="56"/>
  <c r="S143" i="56"/>
  <c r="H143" i="56" s="1"/>
  <c r="C143" i="56" s="1"/>
  <c r="D143" i="56" s="1"/>
  <c r="E143" i="56" s="1"/>
  <c r="V142" i="56"/>
  <c r="R142" i="56"/>
  <c r="S142" i="56"/>
  <c r="T142" i="56"/>
  <c r="U142" i="56"/>
  <c r="V141" i="56"/>
  <c r="U141" i="56"/>
  <c r="T141" i="56"/>
  <c r="S141" i="56"/>
  <c r="R141" i="56"/>
  <c r="V140" i="56"/>
  <c r="U140" i="56"/>
  <c r="T140" i="56"/>
  <c r="S140" i="56"/>
  <c r="R140" i="56"/>
  <c r="V138" i="56"/>
  <c r="U138" i="56"/>
  <c r="T138" i="56"/>
  <c r="S138" i="56"/>
  <c r="R138" i="56"/>
  <c r="V137" i="56"/>
  <c r="U137" i="56"/>
  <c r="T137" i="56"/>
  <c r="S137" i="56"/>
  <c r="R137" i="56"/>
  <c r="V136" i="56"/>
  <c r="U136" i="56"/>
  <c r="T136" i="56"/>
  <c r="S136" i="56"/>
  <c r="R136" i="56"/>
  <c r="H136" i="56" s="1"/>
  <c r="C136" i="56" s="1"/>
  <c r="D136" i="56" s="1"/>
  <c r="E136" i="56" s="1"/>
  <c r="V135" i="56"/>
  <c r="U135" i="56"/>
  <c r="T135" i="56"/>
  <c r="S135" i="56"/>
  <c r="R135" i="56"/>
  <c r="V134" i="56"/>
  <c r="U134" i="56"/>
  <c r="T134" i="56"/>
  <c r="S134" i="56"/>
  <c r="R134" i="56"/>
  <c r="V133" i="56"/>
  <c r="U133" i="56"/>
  <c r="T133" i="56"/>
  <c r="S133" i="56"/>
  <c r="R133" i="56"/>
  <c r="H133" i="56" s="1"/>
  <c r="C133" i="56" s="1"/>
  <c r="D133" i="56" s="1"/>
  <c r="E133" i="56" s="1"/>
  <c r="V132" i="56"/>
  <c r="U132" i="56"/>
  <c r="T132" i="56"/>
  <c r="S132" i="56"/>
  <c r="R132" i="56"/>
  <c r="V131" i="56"/>
  <c r="U131" i="56"/>
  <c r="T131" i="56"/>
  <c r="S131" i="56"/>
  <c r="R131" i="56"/>
  <c r="H131" i="56" s="1"/>
  <c r="C131" i="56" s="1"/>
  <c r="D131" i="56" s="1"/>
  <c r="E131" i="56" s="1"/>
  <c r="V130" i="56"/>
  <c r="U130" i="56"/>
  <c r="T130" i="56"/>
  <c r="S130" i="56"/>
  <c r="H130" i="56" s="1"/>
  <c r="C130" i="56" s="1"/>
  <c r="R130" i="56"/>
  <c r="D130" i="56"/>
  <c r="E130" i="56" s="1"/>
  <c r="V129" i="56"/>
  <c r="U129" i="56"/>
  <c r="T129" i="56"/>
  <c r="R129" i="56"/>
  <c r="S129" i="56"/>
  <c r="H129" i="56"/>
  <c r="C129" i="56" s="1"/>
  <c r="D129" i="56" s="1"/>
  <c r="E129" i="56" s="1"/>
  <c r="V128" i="56"/>
  <c r="U128" i="56"/>
  <c r="T128" i="56"/>
  <c r="S128" i="56"/>
  <c r="R128" i="56"/>
  <c r="H128" i="56" s="1"/>
  <c r="C128" i="56" s="1"/>
  <c r="D128" i="56" s="1"/>
  <c r="E128" i="56" s="1"/>
  <c r="V127" i="56"/>
  <c r="R127" i="56"/>
  <c r="H127" i="56" s="1"/>
  <c r="C127" i="56" s="1"/>
  <c r="D127" i="56" s="1"/>
  <c r="E127" i="56" s="1"/>
  <c r="S127" i="56"/>
  <c r="T127" i="56"/>
  <c r="U127" i="56"/>
  <c r="V126" i="56"/>
  <c r="U126" i="56"/>
  <c r="T126" i="56"/>
  <c r="S126" i="56"/>
  <c r="R126" i="56"/>
  <c r="V125" i="56"/>
  <c r="U125" i="56"/>
  <c r="T125" i="56"/>
  <c r="S125" i="56"/>
  <c r="H125" i="56"/>
  <c r="C125" i="56" s="1"/>
  <c r="D125" i="56" s="1"/>
  <c r="E125" i="56" s="1"/>
  <c r="R125" i="56"/>
  <c r="V124" i="56"/>
  <c r="U124" i="56"/>
  <c r="T124" i="56"/>
  <c r="S124" i="56"/>
  <c r="R124" i="56"/>
  <c r="H124" i="56" s="1"/>
  <c r="C124" i="56" s="1"/>
  <c r="D124" i="56" s="1"/>
  <c r="E124" i="56" s="1"/>
  <c r="V123" i="56"/>
  <c r="H123" i="56" s="1"/>
  <c r="C123" i="56" s="1"/>
  <c r="D123" i="56" s="1"/>
  <c r="E123" i="56" s="1"/>
  <c r="U123" i="56"/>
  <c r="T123" i="56"/>
  <c r="S123" i="56"/>
  <c r="R123" i="56"/>
  <c r="V122" i="56"/>
  <c r="U122" i="56"/>
  <c r="T122" i="56"/>
  <c r="S122" i="56"/>
  <c r="R122" i="56"/>
  <c r="V121" i="56"/>
  <c r="U121" i="56"/>
  <c r="T121" i="56"/>
  <c r="S121" i="56"/>
  <c r="H121" i="56"/>
  <c r="C121" i="56" s="1"/>
  <c r="D121" i="56" s="1"/>
  <c r="E121" i="56" s="1"/>
  <c r="R121" i="56"/>
  <c r="V120" i="56"/>
  <c r="U120" i="56"/>
  <c r="T120" i="56"/>
  <c r="S120" i="56"/>
  <c r="R120" i="56"/>
  <c r="H120" i="56" s="1"/>
  <c r="C120" i="56" s="1"/>
  <c r="D120" i="56" s="1"/>
  <c r="E120" i="56" s="1"/>
  <c r="V119" i="56"/>
  <c r="U119" i="56"/>
  <c r="T119" i="56"/>
  <c r="S119" i="56"/>
  <c r="R119" i="56"/>
  <c r="H119" i="56"/>
  <c r="C119" i="56"/>
  <c r="D119" i="56"/>
  <c r="E119" i="56" s="1"/>
  <c r="V118" i="56"/>
  <c r="U118" i="56"/>
  <c r="T118" i="56"/>
  <c r="S118" i="56"/>
  <c r="R118" i="56"/>
  <c r="H118" i="56" s="1"/>
  <c r="C118" i="56" s="1"/>
  <c r="D118" i="56" s="1"/>
  <c r="E118" i="56" s="1"/>
  <c r="V117" i="56"/>
  <c r="U117" i="56"/>
  <c r="T117" i="56"/>
  <c r="S117" i="56"/>
  <c r="R117" i="56"/>
  <c r="H117" i="56" s="1"/>
  <c r="C117" i="56" s="1"/>
  <c r="D117" i="56" s="1"/>
  <c r="E117" i="56" s="1"/>
  <c r="V116" i="56"/>
  <c r="U116" i="56"/>
  <c r="T116" i="56"/>
  <c r="S116" i="56"/>
  <c r="R116" i="56"/>
  <c r="H116" i="56" s="1"/>
  <c r="C116" i="56" s="1"/>
  <c r="D116" i="56" s="1"/>
  <c r="E116" i="56" s="1"/>
  <c r="V115" i="56"/>
  <c r="U115" i="56"/>
  <c r="T115" i="56"/>
  <c r="S115" i="56"/>
  <c r="R115" i="56"/>
  <c r="H115" i="56"/>
  <c r="C115" i="56"/>
  <c r="D115" i="56" s="1"/>
  <c r="E115" i="56" s="1"/>
  <c r="V114" i="56"/>
  <c r="U114" i="56"/>
  <c r="T114" i="56"/>
  <c r="S114" i="56"/>
  <c r="R114" i="56"/>
  <c r="V113" i="56"/>
  <c r="U113" i="56"/>
  <c r="T113" i="56"/>
  <c r="S113" i="56"/>
  <c r="R113" i="56"/>
  <c r="V112" i="56"/>
  <c r="U112" i="56"/>
  <c r="T112" i="56"/>
  <c r="S112" i="56"/>
  <c r="R112" i="56"/>
  <c r="H112" i="56" s="1"/>
  <c r="C112" i="56" s="1"/>
  <c r="D112" i="56" s="1"/>
  <c r="E112" i="56" s="1"/>
  <c r="V111" i="56"/>
  <c r="U111" i="56"/>
  <c r="T111" i="56"/>
  <c r="S111" i="56"/>
  <c r="H111" i="56"/>
  <c r="C111" i="56"/>
  <c r="D111" i="56"/>
  <c r="R111" i="56"/>
  <c r="E111" i="56"/>
  <c r="V110" i="56"/>
  <c r="U110" i="56"/>
  <c r="T110" i="56"/>
  <c r="S110" i="56"/>
  <c r="R110" i="56"/>
  <c r="V109" i="56"/>
  <c r="U109" i="56"/>
  <c r="T109" i="56"/>
  <c r="S109" i="56"/>
  <c r="R109" i="56"/>
  <c r="H109" i="56" s="1"/>
  <c r="C109" i="56" s="1"/>
  <c r="D109" i="56" s="1"/>
  <c r="E109" i="56" s="1"/>
  <c r="V108" i="56"/>
  <c r="U108" i="56"/>
  <c r="T108" i="56"/>
  <c r="S108" i="56"/>
  <c r="R108" i="56"/>
  <c r="H108" i="56" s="1"/>
  <c r="C108" i="56" s="1"/>
  <c r="D108" i="56" s="1"/>
  <c r="E108" i="56" s="1"/>
  <c r="V107" i="56"/>
  <c r="U107" i="56"/>
  <c r="T107" i="56"/>
  <c r="S107" i="56"/>
  <c r="R107" i="56"/>
  <c r="H107" i="56" s="1"/>
  <c r="C107" i="56" s="1"/>
  <c r="D107" i="56" s="1"/>
  <c r="E107" i="56" s="1"/>
  <c r="V106" i="56"/>
  <c r="U106" i="56"/>
  <c r="H106" i="56" s="1"/>
  <c r="C106" i="56" s="1"/>
  <c r="D106" i="56" s="1"/>
  <c r="E106" i="56" s="1"/>
  <c r="T106" i="56"/>
  <c r="S106" i="56"/>
  <c r="R106" i="56"/>
  <c r="U7" i="56"/>
  <c r="V7" i="56"/>
  <c r="U8" i="56"/>
  <c r="V8" i="56"/>
  <c r="U9" i="56"/>
  <c r="V9" i="56"/>
  <c r="U10" i="56"/>
  <c r="V10" i="56"/>
  <c r="U11" i="56"/>
  <c r="V11" i="56"/>
  <c r="U12" i="56"/>
  <c r="H12" i="56" s="1"/>
  <c r="C12" i="56" s="1"/>
  <c r="D12" i="56" s="1"/>
  <c r="E12" i="56" s="1"/>
  <c r="V12" i="56"/>
  <c r="U13" i="56"/>
  <c r="H13" i="56"/>
  <c r="C13" i="56" s="1"/>
  <c r="D13" i="56" s="1"/>
  <c r="E13" i="56" s="1"/>
  <c r="V13" i="56"/>
  <c r="U14" i="56"/>
  <c r="V14" i="56"/>
  <c r="U15" i="56"/>
  <c r="V15" i="56"/>
  <c r="U16" i="56"/>
  <c r="V16" i="56"/>
  <c r="U17" i="56"/>
  <c r="V17" i="56"/>
  <c r="U18" i="56"/>
  <c r="R18" i="56"/>
  <c r="S18" i="56"/>
  <c r="H18" i="56" s="1"/>
  <c r="C18" i="56" s="1"/>
  <c r="D18" i="56" s="1"/>
  <c r="E18" i="56" s="1"/>
  <c r="T18" i="56"/>
  <c r="V18" i="56"/>
  <c r="U19" i="56"/>
  <c r="V19" i="56"/>
  <c r="U20" i="56"/>
  <c r="V20" i="56"/>
  <c r="U21" i="56"/>
  <c r="V21" i="56"/>
  <c r="U22" i="56"/>
  <c r="V22" i="56"/>
  <c r="U23" i="56"/>
  <c r="V23" i="56"/>
  <c r="U24" i="56"/>
  <c r="V24" i="56"/>
  <c r="U25" i="56"/>
  <c r="V25" i="56"/>
  <c r="U26" i="56"/>
  <c r="V26" i="56"/>
  <c r="U27" i="56"/>
  <c r="V27" i="56"/>
  <c r="U28" i="56"/>
  <c r="V28" i="56"/>
  <c r="U29" i="56"/>
  <c r="V29" i="56"/>
  <c r="U30" i="56"/>
  <c r="V30" i="56"/>
  <c r="U31" i="56"/>
  <c r="V31" i="56"/>
  <c r="U32" i="56"/>
  <c r="V32" i="56"/>
  <c r="U33" i="56"/>
  <c r="V33" i="56"/>
  <c r="U34" i="56"/>
  <c r="V34" i="56"/>
  <c r="U35" i="56"/>
  <c r="V35" i="56"/>
  <c r="U36" i="56"/>
  <c r="V36" i="56"/>
  <c r="U37" i="56"/>
  <c r="V37" i="56"/>
  <c r="U38" i="56"/>
  <c r="V38" i="56"/>
  <c r="U39" i="56"/>
  <c r="V39" i="56"/>
  <c r="U40" i="56"/>
  <c r="H40" i="56" s="1"/>
  <c r="C40" i="56" s="1"/>
  <c r="V40" i="56"/>
  <c r="U41" i="56"/>
  <c r="V41" i="56"/>
  <c r="U42" i="56"/>
  <c r="V42" i="56"/>
  <c r="U43" i="56"/>
  <c r="V43" i="56"/>
  <c r="U44" i="56"/>
  <c r="V44" i="56"/>
  <c r="U45" i="56"/>
  <c r="V45" i="56"/>
  <c r="U46" i="56"/>
  <c r="V46" i="56"/>
  <c r="U47" i="56"/>
  <c r="V47" i="56"/>
  <c r="U48" i="56"/>
  <c r="V48" i="56"/>
  <c r="U49" i="56"/>
  <c r="V49" i="56"/>
  <c r="U50" i="56"/>
  <c r="V50" i="56"/>
  <c r="U51" i="56"/>
  <c r="V51" i="56"/>
  <c r="U52" i="56"/>
  <c r="V52" i="56"/>
  <c r="U53" i="56"/>
  <c r="V53" i="56"/>
  <c r="U54" i="56"/>
  <c r="V54" i="56"/>
  <c r="U55" i="56"/>
  <c r="V55" i="56"/>
  <c r="U56" i="56"/>
  <c r="V56" i="56"/>
  <c r="U57" i="56"/>
  <c r="V57" i="56"/>
  <c r="U58" i="56"/>
  <c r="V58" i="56"/>
  <c r="H58" i="56" s="1"/>
  <c r="C58" i="56" s="1"/>
  <c r="D58" i="56" s="1"/>
  <c r="E58" i="56" s="1"/>
  <c r="U59" i="56"/>
  <c r="V59" i="56"/>
  <c r="U60" i="56"/>
  <c r="V60" i="56"/>
  <c r="U61" i="56"/>
  <c r="V61" i="56"/>
  <c r="U62" i="56"/>
  <c r="V62" i="56"/>
  <c r="U63" i="56"/>
  <c r="H63" i="56" s="1"/>
  <c r="V63" i="56"/>
  <c r="U64" i="56"/>
  <c r="V64" i="56"/>
  <c r="U65" i="56"/>
  <c r="R65" i="56"/>
  <c r="H65" i="56" s="1"/>
  <c r="C65" i="56" s="1"/>
  <c r="D65" i="56" s="1"/>
  <c r="E65" i="56" s="1"/>
  <c r="S65" i="56"/>
  <c r="T65" i="56"/>
  <c r="V65" i="56"/>
  <c r="U66" i="56"/>
  <c r="V66" i="56"/>
  <c r="U67" i="56"/>
  <c r="V67" i="56"/>
  <c r="U68" i="56"/>
  <c r="V68" i="56"/>
  <c r="U69" i="56"/>
  <c r="V69" i="56"/>
  <c r="U70" i="56"/>
  <c r="V70" i="56"/>
  <c r="U71" i="56"/>
  <c r="H71" i="56" s="1"/>
  <c r="C71" i="56" s="1"/>
  <c r="D71" i="56" s="1"/>
  <c r="E71" i="56" s="1"/>
  <c r="V71" i="56"/>
  <c r="U72" i="56"/>
  <c r="H72" i="56" s="1"/>
  <c r="C72" i="56" s="1"/>
  <c r="D72" i="56" s="1"/>
  <c r="E72" i="56" s="1"/>
  <c r="V72" i="56"/>
  <c r="U73" i="56"/>
  <c r="V73" i="56"/>
  <c r="U74" i="56"/>
  <c r="V74" i="56"/>
  <c r="U75" i="56"/>
  <c r="V75" i="56"/>
  <c r="U76" i="56"/>
  <c r="V76" i="56"/>
  <c r="U77" i="56"/>
  <c r="V77" i="56"/>
  <c r="U78" i="56"/>
  <c r="V78" i="56"/>
  <c r="U79" i="56"/>
  <c r="V79" i="56"/>
  <c r="U80" i="56"/>
  <c r="V80" i="56"/>
  <c r="U81" i="56"/>
  <c r="V81" i="56"/>
  <c r="U82" i="56"/>
  <c r="V82" i="56"/>
  <c r="U83" i="56"/>
  <c r="V83" i="56"/>
  <c r="U84" i="56"/>
  <c r="V84" i="56"/>
  <c r="U85" i="56"/>
  <c r="V85" i="56"/>
  <c r="U86" i="56"/>
  <c r="V86" i="56"/>
  <c r="U87" i="56"/>
  <c r="V87" i="56"/>
  <c r="U88" i="56"/>
  <c r="V88" i="56"/>
  <c r="U89" i="56"/>
  <c r="V89" i="56"/>
  <c r="U90" i="56"/>
  <c r="R90" i="56"/>
  <c r="S90" i="56"/>
  <c r="T90" i="56"/>
  <c r="V90" i="56"/>
  <c r="H90" i="56" s="1"/>
  <c r="C90" i="56" s="1"/>
  <c r="D90" i="56" s="1"/>
  <c r="E90" i="56" s="1"/>
  <c r="U91" i="56"/>
  <c r="V91" i="56"/>
  <c r="U92" i="56"/>
  <c r="V92" i="56"/>
  <c r="U93" i="56"/>
  <c r="V93" i="56"/>
  <c r="U94" i="56"/>
  <c r="V94" i="56"/>
  <c r="U95" i="56"/>
  <c r="V95" i="56"/>
  <c r="U96" i="56"/>
  <c r="R96" i="56"/>
  <c r="S96" i="56"/>
  <c r="T96" i="56"/>
  <c r="V96" i="56"/>
  <c r="U97" i="56"/>
  <c r="V97" i="56"/>
  <c r="U98" i="56"/>
  <c r="V98" i="56"/>
  <c r="U99" i="56"/>
  <c r="V99" i="56"/>
  <c r="U100" i="56"/>
  <c r="V100" i="56"/>
  <c r="U101" i="56"/>
  <c r="V101" i="56"/>
  <c r="U102" i="56"/>
  <c r="V102" i="56"/>
  <c r="U103" i="56"/>
  <c r="V103" i="56"/>
  <c r="U104" i="56"/>
  <c r="V104" i="56"/>
  <c r="U105" i="56"/>
  <c r="V105" i="56"/>
  <c r="V6" i="56"/>
  <c r="U6" i="56"/>
  <c r="R7" i="56"/>
  <c r="H7" i="56" s="1"/>
  <c r="C7" i="56" s="1"/>
  <c r="D7" i="56" s="1"/>
  <c r="E7" i="56" s="1"/>
  <c r="S7" i="56"/>
  <c r="T7" i="56"/>
  <c r="R8" i="56"/>
  <c r="H8" i="56" s="1"/>
  <c r="C8" i="56" s="1"/>
  <c r="D8" i="56" s="1"/>
  <c r="E8" i="56" s="1"/>
  <c r="S8" i="56"/>
  <c r="T8" i="56"/>
  <c r="R9" i="56"/>
  <c r="H9" i="56"/>
  <c r="C9" i="56" s="1"/>
  <c r="D9" i="56" s="1"/>
  <c r="E9" i="56" s="1"/>
  <c r="S9" i="56"/>
  <c r="T9" i="56"/>
  <c r="R10" i="56"/>
  <c r="H10" i="56" s="1"/>
  <c r="C10" i="56" s="1"/>
  <c r="D10" i="56" s="1"/>
  <c r="E10" i="56" s="1"/>
  <c r="S10" i="56"/>
  <c r="T10" i="56"/>
  <c r="R11" i="56"/>
  <c r="H11" i="56" s="1"/>
  <c r="C11" i="56" s="1"/>
  <c r="D11" i="56" s="1"/>
  <c r="E11" i="56" s="1"/>
  <c r="S11" i="56"/>
  <c r="T11" i="56"/>
  <c r="R12" i="56"/>
  <c r="S12" i="56"/>
  <c r="T12" i="56"/>
  <c r="R13" i="56"/>
  <c r="S13" i="56"/>
  <c r="T13" i="56"/>
  <c r="R14" i="56"/>
  <c r="S14" i="56"/>
  <c r="H14" i="56" s="1"/>
  <c r="C14" i="56" s="1"/>
  <c r="D14" i="56" s="1"/>
  <c r="E14" i="56" s="1"/>
  <c r="T14" i="56"/>
  <c r="R15" i="56"/>
  <c r="H15" i="56" s="1"/>
  <c r="C15" i="56" s="1"/>
  <c r="D15" i="56" s="1"/>
  <c r="E15" i="56" s="1"/>
  <c r="S15" i="56"/>
  <c r="T15" i="56"/>
  <c r="R16" i="56"/>
  <c r="S16" i="56"/>
  <c r="T16" i="56"/>
  <c r="R17" i="56"/>
  <c r="H17" i="56" s="1"/>
  <c r="C17" i="56" s="1"/>
  <c r="D17" i="56" s="1"/>
  <c r="E17" i="56" s="1"/>
  <c r="S17" i="56"/>
  <c r="T17" i="56"/>
  <c r="R19" i="56"/>
  <c r="H19" i="56" s="1"/>
  <c r="C19" i="56" s="1"/>
  <c r="D19" i="56" s="1"/>
  <c r="E19" i="56" s="1"/>
  <c r="S19" i="56"/>
  <c r="T19" i="56"/>
  <c r="R20" i="56"/>
  <c r="S20" i="56"/>
  <c r="H20" i="56" s="1"/>
  <c r="C20" i="56" s="1"/>
  <c r="D20" i="56" s="1"/>
  <c r="E20" i="56" s="1"/>
  <c r="T20" i="56"/>
  <c r="R21" i="56"/>
  <c r="S21" i="56"/>
  <c r="T21" i="56"/>
  <c r="R22" i="56"/>
  <c r="H22" i="56" s="1"/>
  <c r="C22" i="56" s="1"/>
  <c r="D22" i="56" s="1"/>
  <c r="E22" i="56" s="1"/>
  <c r="S22" i="56"/>
  <c r="T22" i="56"/>
  <c r="R23" i="56"/>
  <c r="S23" i="56"/>
  <c r="T23" i="56"/>
  <c r="R24" i="56"/>
  <c r="H24" i="56" s="1"/>
  <c r="C24" i="56" s="1"/>
  <c r="D24" i="56" s="1"/>
  <c r="E24" i="56" s="1"/>
  <c r="S24" i="56"/>
  <c r="T24" i="56"/>
  <c r="R25" i="56"/>
  <c r="H25" i="56" s="1"/>
  <c r="C25" i="56" s="1"/>
  <c r="D25" i="56" s="1"/>
  <c r="E25" i="56" s="1"/>
  <c r="S25" i="56"/>
  <c r="T25" i="56"/>
  <c r="R26" i="56"/>
  <c r="H26" i="56" s="1"/>
  <c r="C26" i="56" s="1"/>
  <c r="D26" i="56" s="1"/>
  <c r="E26" i="56" s="1"/>
  <c r="S26" i="56"/>
  <c r="T26" i="56"/>
  <c r="R27" i="56"/>
  <c r="S27" i="56"/>
  <c r="T27" i="56"/>
  <c r="H27" i="56" s="1"/>
  <c r="C27" i="56" s="1"/>
  <c r="D27" i="56" s="1"/>
  <c r="E27" i="56" s="1"/>
  <c r="R28" i="56"/>
  <c r="S28" i="56"/>
  <c r="T28" i="56"/>
  <c r="H28" i="56"/>
  <c r="C28" i="56"/>
  <c r="D28" i="56"/>
  <c r="E28" i="56"/>
  <c r="R29" i="56"/>
  <c r="S29" i="56"/>
  <c r="H29" i="56" s="1"/>
  <c r="C29" i="56" s="1"/>
  <c r="D29" i="56" s="1"/>
  <c r="E29" i="56" s="1"/>
  <c r="T29" i="56"/>
  <c r="R30" i="56"/>
  <c r="S30" i="56"/>
  <c r="T30" i="56"/>
  <c r="R31" i="56"/>
  <c r="S31" i="56"/>
  <c r="T31" i="56"/>
  <c r="R32" i="56"/>
  <c r="S32" i="56"/>
  <c r="T32" i="56"/>
  <c r="R33" i="56"/>
  <c r="H33" i="56" s="1"/>
  <c r="C33" i="56" s="1"/>
  <c r="D33" i="56" s="1"/>
  <c r="E33" i="56" s="1"/>
  <c r="S33" i="56"/>
  <c r="T33" i="56"/>
  <c r="R34" i="56"/>
  <c r="S34" i="56"/>
  <c r="T34" i="56"/>
  <c r="R35" i="56"/>
  <c r="S35" i="56"/>
  <c r="H35" i="56" s="1"/>
  <c r="C35" i="56" s="1"/>
  <c r="D35" i="56" s="1"/>
  <c r="E35" i="56" s="1"/>
  <c r="T35" i="56"/>
  <c r="R36" i="56"/>
  <c r="S36" i="56"/>
  <c r="T36" i="56"/>
  <c r="R37" i="56"/>
  <c r="S37" i="56"/>
  <c r="T37" i="56"/>
  <c r="H37" i="56" s="1"/>
  <c r="C37" i="56" s="1"/>
  <c r="D37" i="56" s="1"/>
  <c r="E37" i="56" s="1"/>
  <c r="R38" i="56"/>
  <c r="H38" i="56" s="1"/>
  <c r="C38" i="56" s="1"/>
  <c r="D38" i="56" s="1"/>
  <c r="E38" i="56" s="1"/>
  <c r="S38" i="56"/>
  <c r="T38" i="56"/>
  <c r="R39" i="56"/>
  <c r="H39" i="56" s="1"/>
  <c r="C39" i="56" s="1"/>
  <c r="D39" i="56" s="1"/>
  <c r="E39" i="56" s="1"/>
  <c r="S39" i="56"/>
  <c r="T39" i="56"/>
  <c r="R40" i="56"/>
  <c r="D40" i="56"/>
  <c r="E40" i="56" s="1"/>
  <c r="S40" i="56"/>
  <c r="T40" i="56"/>
  <c r="R41" i="56"/>
  <c r="S41" i="56"/>
  <c r="T41" i="56"/>
  <c r="R42" i="56"/>
  <c r="S42" i="56"/>
  <c r="T42" i="56"/>
  <c r="R43" i="56"/>
  <c r="H43" i="56" s="1"/>
  <c r="C43" i="56" s="1"/>
  <c r="D43" i="56" s="1"/>
  <c r="E43" i="56" s="1"/>
  <c r="S43" i="56"/>
  <c r="T43" i="56"/>
  <c r="R44" i="56"/>
  <c r="H44" i="56" s="1"/>
  <c r="C44" i="56" s="1"/>
  <c r="D44" i="56" s="1"/>
  <c r="E44" i="56" s="1"/>
  <c r="S44" i="56"/>
  <c r="T44" i="56"/>
  <c r="R45" i="56"/>
  <c r="S45" i="56"/>
  <c r="T45" i="56"/>
  <c r="R46" i="56"/>
  <c r="S46" i="56"/>
  <c r="T46" i="56"/>
  <c r="R47" i="56"/>
  <c r="H47" i="56"/>
  <c r="C47" i="56" s="1"/>
  <c r="D47" i="56" s="1"/>
  <c r="E47" i="56" s="1"/>
  <c r="S47" i="56"/>
  <c r="T47" i="56"/>
  <c r="R48" i="56"/>
  <c r="S48" i="56"/>
  <c r="H48" i="56" s="1"/>
  <c r="C48" i="56" s="1"/>
  <c r="D48" i="56" s="1"/>
  <c r="T48" i="56"/>
  <c r="R49" i="56"/>
  <c r="S49" i="56"/>
  <c r="H49" i="56" s="1"/>
  <c r="C49" i="56" s="1"/>
  <c r="D49" i="56" s="1"/>
  <c r="E49" i="56" s="1"/>
  <c r="T49" i="56"/>
  <c r="R50" i="56"/>
  <c r="H50" i="56" s="1"/>
  <c r="C50" i="56" s="1"/>
  <c r="D50" i="56" s="1"/>
  <c r="E50" i="56" s="1"/>
  <c r="S50" i="56"/>
  <c r="T50" i="56"/>
  <c r="R51" i="56"/>
  <c r="S51" i="56"/>
  <c r="T51" i="56"/>
  <c r="R52" i="56"/>
  <c r="S52" i="56"/>
  <c r="H52" i="56" s="1"/>
  <c r="C52" i="56" s="1"/>
  <c r="D52" i="56" s="1"/>
  <c r="E52" i="56" s="1"/>
  <c r="T52" i="56"/>
  <c r="R53" i="56"/>
  <c r="S53" i="56"/>
  <c r="H53" i="56" s="1"/>
  <c r="C53" i="56" s="1"/>
  <c r="D53" i="56" s="1"/>
  <c r="E53" i="56" s="1"/>
  <c r="T53" i="56"/>
  <c r="R54" i="56"/>
  <c r="S54" i="56"/>
  <c r="T54" i="56"/>
  <c r="R55" i="56"/>
  <c r="S55" i="56"/>
  <c r="T55" i="56"/>
  <c r="R56" i="56"/>
  <c r="S56" i="56"/>
  <c r="T56" i="56"/>
  <c r="H56" i="56"/>
  <c r="C56" i="56" s="1"/>
  <c r="D56" i="56" s="1"/>
  <c r="E56" i="56" s="1"/>
  <c r="R57" i="56"/>
  <c r="S57" i="56"/>
  <c r="T57" i="56"/>
  <c r="R58" i="56"/>
  <c r="S58" i="56"/>
  <c r="T58" i="56"/>
  <c r="R59" i="56"/>
  <c r="H59" i="56" s="1"/>
  <c r="C59" i="56" s="1"/>
  <c r="D59" i="56" s="1"/>
  <c r="E59" i="56" s="1"/>
  <c r="S59" i="56"/>
  <c r="T59" i="56"/>
  <c r="R60" i="56"/>
  <c r="S60" i="56"/>
  <c r="T60" i="56"/>
  <c r="R61" i="56"/>
  <c r="H61" i="56" s="1"/>
  <c r="C61" i="56" s="1"/>
  <c r="D61" i="56" s="1"/>
  <c r="E61" i="56" s="1"/>
  <c r="S61" i="56"/>
  <c r="T61" i="56"/>
  <c r="R62" i="56"/>
  <c r="S62" i="56"/>
  <c r="T62" i="56"/>
  <c r="H62" i="56"/>
  <c r="C62" i="56"/>
  <c r="D62" i="56" s="1"/>
  <c r="E62" i="56" s="1"/>
  <c r="R63" i="56"/>
  <c r="S63" i="56"/>
  <c r="T63" i="56"/>
  <c r="R64" i="56"/>
  <c r="S64" i="56"/>
  <c r="T64" i="56"/>
  <c r="R66" i="56"/>
  <c r="S66" i="56"/>
  <c r="T66" i="56"/>
  <c r="R67" i="56"/>
  <c r="S67" i="56"/>
  <c r="T67" i="56"/>
  <c r="R68" i="56"/>
  <c r="H68" i="56" s="1"/>
  <c r="C68" i="56" s="1"/>
  <c r="D68" i="56" s="1"/>
  <c r="E68" i="56" s="1"/>
  <c r="S68" i="56"/>
  <c r="T68" i="56"/>
  <c r="R69" i="56"/>
  <c r="S69" i="56"/>
  <c r="H69" i="56" s="1"/>
  <c r="C69" i="56" s="1"/>
  <c r="D69" i="56" s="1"/>
  <c r="E69" i="56" s="1"/>
  <c r="T69" i="56"/>
  <c r="R70" i="56"/>
  <c r="H70" i="56" s="1"/>
  <c r="C70" i="56" s="1"/>
  <c r="D70" i="56" s="1"/>
  <c r="E70" i="56" s="1"/>
  <c r="S70" i="56"/>
  <c r="T70" i="56"/>
  <c r="R71" i="56"/>
  <c r="S71" i="56"/>
  <c r="T71" i="56"/>
  <c r="R72" i="56"/>
  <c r="S72" i="56"/>
  <c r="T72" i="56"/>
  <c r="R73" i="56"/>
  <c r="S73" i="56"/>
  <c r="T73" i="56"/>
  <c r="R74" i="56"/>
  <c r="H74" i="56" s="1"/>
  <c r="C74" i="56" s="1"/>
  <c r="D74" i="56" s="1"/>
  <c r="E74" i="56" s="1"/>
  <c r="S74" i="56"/>
  <c r="T74" i="56"/>
  <c r="R75" i="56"/>
  <c r="S75" i="56"/>
  <c r="T75" i="56"/>
  <c r="H75" i="56" s="1"/>
  <c r="C75" i="56" s="1"/>
  <c r="D75" i="56" s="1"/>
  <c r="E75" i="56" s="1"/>
  <c r="R76" i="56"/>
  <c r="S76" i="56"/>
  <c r="T76" i="56"/>
  <c r="H76" i="56"/>
  <c r="C76" i="56"/>
  <c r="D76" i="56" s="1"/>
  <c r="E76" i="56" s="1"/>
  <c r="R77" i="56"/>
  <c r="S77" i="56"/>
  <c r="T77" i="56"/>
  <c r="R78" i="56"/>
  <c r="S78" i="56"/>
  <c r="T78" i="56"/>
  <c r="R79" i="56"/>
  <c r="S79" i="56"/>
  <c r="T79" i="56"/>
  <c r="R80" i="56"/>
  <c r="S80" i="56"/>
  <c r="T80" i="56"/>
  <c r="R81" i="56"/>
  <c r="H81" i="56" s="1"/>
  <c r="C81" i="56" s="1"/>
  <c r="D81" i="56" s="1"/>
  <c r="E81" i="56" s="1"/>
  <c r="S81" i="56"/>
  <c r="T81" i="56"/>
  <c r="R82" i="56"/>
  <c r="H82" i="56" s="1"/>
  <c r="C82" i="56" s="1"/>
  <c r="D82" i="56" s="1"/>
  <c r="E82" i="56" s="1"/>
  <c r="S82" i="56"/>
  <c r="T82" i="56"/>
  <c r="R83" i="56"/>
  <c r="S83" i="56"/>
  <c r="T83" i="56"/>
  <c r="H83" i="56" s="1"/>
  <c r="C83" i="56" s="1"/>
  <c r="D83" i="56" s="1"/>
  <c r="E83" i="56" s="1"/>
  <c r="R84" i="56"/>
  <c r="S84" i="56"/>
  <c r="T84" i="56"/>
  <c r="R85" i="56"/>
  <c r="H85" i="56" s="1"/>
  <c r="C85" i="56" s="1"/>
  <c r="D85" i="56" s="1"/>
  <c r="E85" i="56" s="1"/>
  <c r="S85" i="56"/>
  <c r="T85" i="56"/>
  <c r="R86" i="56"/>
  <c r="S86" i="56"/>
  <c r="T86" i="56"/>
  <c r="R87" i="56"/>
  <c r="S87" i="56"/>
  <c r="T87" i="56"/>
  <c r="R88" i="56"/>
  <c r="S88" i="56"/>
  <c r="T88" i="56"/>
  <c r="H88" i="56" s="1"/>
  <c r="C88" i="56" s="1"/>
  <c r="D88" i="56" s="1"/>
  <c r="E88" i="56" s="1"/>
  <c r="R89" i="56"/>
  <c r="H89" i="56" s="1"/>
  <c r="C89" i="56" s="1"/>
  <c r="D89" i="56" s="1"/>
  <c r="E89" i="56" s="1"/>
  <c r="S89" i="56"/>
  <c r="T89" i="56"/>
  <c r="R91" i="56"/>
  <c r="H91" i="56"/>
  <c r="C91" i="56" s="1"/>
  <c r="D91" i="56" s="1"/>
  <c r="E91" i="56" s="1"/>
  <c r="S91" i="56"/>
  <c r="T91" i="56"/>
  <c r="R92" i="56"/>
  <c r="S92" i="56"/>
  <c r="T92" i="56"/>
  <c r="R93" i="56"/>
  <c r="S93" i="56"/>
  <c r="H93" i="56" s="1"/>
  <c r="C93" i="56" s="1"/>
  <c r="D93" i="56" s="1"/>
  <c r="E93" i="56" s="1"/>
  <c r="T93" i="56"/>
  <c r="R94" i="56"/>
  <c r="S94" i="56"/>
  <c r="H94" i="56" s="1"/>
  <c r="C94" i="56" s="1"/>
  <c r="D94" i="56" s="1"/>
  <c r="E94" i="56" s="1"/>
  <c r="T94" i="56"/>
  <c r="R95" i="56"/>
  <c r="H95" i="56" s="1"/>
  <c r="C95" i="56" s="1"/>
  <c r="D95" i="56" s="1"/>
  <c r="E95" i="56" s="1"/>
  <c r="S95" i="56"/>
  <c r="T95" i="56"/>
  <c r="R97" i="56"/>
  <c r="S97" i="56"/>
  <c r="T97" i="56"/>
  <c r="H97" i="56" s="1"/>
  <c r="C97" i="56" s="1"/>
  <c r="D97" i="56" s="1"/>
  <c r="E97" i="56" s="1"/>
  <c r="R98" i="56"/>
  <c r="H98" i="56" s="1"/>
  <c r="C98" i="56" s="1"/>
  <c r="D98" i="56" s="1"/>
  <c r="E98" i="56" s="1"/>
  <c r="S98" i="56"/>
  <c r="T98" i="56"/>
  <c r="R99" i="56"/>
  <c r="S99" i="56"/>
  <c r="T99" i="56"/>
  <c r="R100" i="56"/>
  <c r="S100" i="56"/>
  <c r="H100" i="56" s="1"/>
  <c r="C100" i="56" s="1"/>
  <c r="D100" i="56" s="1"/>
  <c r="E100" i="56" s="1"/>
  <c r="T100" i="56"/>
  <c r="R101" i="56"/>
  <c r="H101" i="56" s="1"/>
  <c r="C101" i="56" s="1"/>
  <c r="D101" i="56" s="1"/>
  <c r="E101" i="56" s="1"/>
  <c r="S101" i="56"/>
  <c r="T101" i="56"/>
  <c r="R102" i="56"/>
  <c r="S102" i="56"/>
  <c r="T102" i="56"/>
  <c r="R103" i="56"/>
  <c r="S103" i="56"/>
  <c r="T103" i="56"/>
  <c r="H103" i="56" s="1"/>
  <c r="C103" i="56" s="1"/>
  <c r="D103" i="56" s="1"/>
  <c r="E103" i="56" s="1"/>
  <c r="R104" i="56"/>
  <c r="S104" i="56"/>
  <c r="T104" i="56"/>
  <c r="H104" i="56" s="1"/>
  <c r="C104" i="56" s="1"/>
  <c r="D104" i="56" s="1"/>
  <c r="E104" i="56" s="1"/>
  <c r="R105" i="56"/>
  <c r="H105" i="56" s="1"/>
  <c r="C105" i="56" s="1"/>
  <c r="D105" i="56" s="1"/>
  <c r="E105" i="56" s="1"/>
  <c r="S105" i="56"/>
  <c r="T105" i="56"/>
  <c r="Q7" i="56"/>
  <c r="B7" i="56" s="1"/>
  <c r="Q8" i="56"/>
  <c r="Q9" i="56"/>
  <c r="B9" i="56" s="1"/>
  <c r="S6" i="56"/>
  <c r="T6" i="56"/>
  <c r="B6" i="56"/>
  <c r="K5" i="56"/>
  <c r="J5" i="56"/>
  <c r="I5" i="56"/>
  <c r="C3" i="57"/>
  <c r="C9" i="57"/>
  <c r="F4" i="57"/>
  <c r="F5" i="57" s="1"/>
  <c r="F6" i="57" s="1"/>
  <c r="F7" i="57" s="1"/>
  <c r="F8" i="57" s="1"/>
  <c r="F9" i="57" s="1"/>
  <c r="F10" i="57" s="1"/>
  <c r="F11" i="57" s="1"/>
  <c r="F12" i="57" s="1"/>
  <c r="F13" i="57" s="1"/>
  <c r="D12" i="65" s="1"/>
  <c r="D13" i="65" s="1"/>
  <c r="R6" i="56"/>
  <c r="H141" i="56"/>
  <c r="C141" i="56" s="1"/>
  <c r="D141" i="56" s="1"/>
  <c r="E141" i="56" s="1"/>
  <c r="H36" i="56"/>
  <c r="C36" i="56" s="1"/>
  <c r="D36" i="56"/>
  <c r="E36" i="56" s="1"/>
  <c r="H137" i="56"/>
  <c r="C137" i="56"/>
  <c r="D137" i="56" s="1"/>
  <c r="E137" i="56" s="1"/>
  <c r="H140" i="56"/>
  <c r="C140" i="56" s="1"/>
  <c r="D140" i="56" s="1"/>
  <c r="E140" i="56" s="1"/>
  <c r="B8" i="56"/>
  <c r="H139" i="56"/>
  <c r="C139" i="56" s="1"/>
  <c r="D139" i="56"/>
  <c r="E139" i="56" s="1"/>
  <c r="H138" i="56"/>
  <c r="C138" i="56"/>
  <c r="D138" i="56"/>
  <c r="E138" i="56" s="1"/>
  <c r="H79" i="56"/>
  <c r="C79" i="56"/>
  <c r="D79" i="56" s="1"/>
  <c r="E79" i="56" s="1"/>
  <c r="H110" i="56"/>
  <c r="C110" i="56"/>
  <c r="D110" i="56"/>
  <c r="E110" i="56" s="1"/>
  <c r="C63" i="56"/>
  <c r="D63" i="56" s="1"/>
  <c r="E63" i="56" s="1"/>
  <c r="H92" i="56"/>
  <c r="C92" i="56" s="1"/>
  <c r="D92" i="56" s="1"/>
  <c r="E92" i="56" s="1"/>
  <c r="E48" i="56"/>
  <c r="H77" i="56"/>
  <c r="C77" i="56" s="1"/>
  <c r="D77" i="56" s="1"/>
  <c r="E77" i="56" s="1"/>
  <c r="H126" i="56"/>
  <c r="C126" i="56" s="1"/>
  <c r="D126" i="56" s="1"/>
  <c r="E126" i="56" s="1"/>
  <c r="H132" i="56"/>
  <c r="C132" i="56" s="1"/>
  <c r="D132" i="56"/>
  <c r="E132" i="56" s="1"/>
  <c r="H99" i="56"/>
  <c r="C99" i="56" s="1"/>
  <c r="D99" i="56" s="1"/>
  <c r="E99" i="56" s="1"/>
  <c r="H54" i="56"/>
  <c r="C54" i="56"/>
  <c r="D54" i="56"/>
  <c r="E54" i="56" s="1"/>
  <c r="H6" i="56"/>
  <c r="C6" i="56" s="1"/>
  <c r="D6" i="56"/>
  <c r="E6" i="56" s="1"/>
  <c r="H134" i="56"/>
  <c r="C134" i="56" s="1"/>
  <c r="D134" i="56" s="1"/>
  <c r="E134" i="56" s="1"/>
  <c r="H51" i="56"/>
  <c r="C51" i="56"/>
  <c r="D51" i="56" s="1"/>
  <c r="E51" i="56" s="1"/>
  <c r="H96" i="56"/>
  <c r="C96" i="56" s="1"/>
  <c r="D96" i="56" s="1"/>
  <c r="E96" i="56" s="1"/>
  <c r="H114" i="56"/>
  <c r="C114" i="56"/>
  <c r="D114" i="56"/>
  <c r="E114" i="56" s="1"/>
  <c r="H142" i="56"/>
  <c r="C142" i="56"/>
  <c r="D142" i="56" s="1"/>
  <c r="E142" i="56" s="1"/>
  <c r="C13" i="27" l="1"/>
  <c r="H41" i="56"/>
  <c r="C41" i="56" s="1"/>
  <c r="D41" i="56" s="1"/>
  <c r="E41" i="56" s="1"/>
  <c r="H32" i="56"/>
  <c r="C32" i="56" s="1"/>
  <c r="D32" i="56" s="1"/>
  <c r="E32" i="56" s="1"/>
  <c r="H46" i="56"/>
  <c r="C46" i="56" s="1"/>
  <c r="D46" i="56" s="1"/>
  <c r="E46" i="56" s="1"/>
  <c r="H60" i="56"/>
  <c r="C60" i="56" s="1"/>
  <c r="D60" i="56" s="1"/>
  <c r="E60" i="56" s="1"/>
  <c r="H16" i="56"/>
  <c r="C16" i="56" s="1"/>
  <c r="D16" i="56" s="1"/>
  <c r="E16" i="56" s="1"/>
  <c r="H30" i="56"/>
  <c r="C30" i="56" s="1"/>
  <c r="D30" i="56" s="1"/>
  <c r="E30" i="56" s="1"/>
  <c r="H86" i="56"/>
  <c r="C86" i="56" s="1"/>
  <c r="D86" i="56" s="1"/>
  <c r="E86" i="56" s="1"/>
  <c r="H122" i="56"/>
  <c r="C122" i="56" s="1"/>
  <c r="D122" i="56" s="1"/>
  <c r="E122" i="56" s="1"/>
  <c r="H31" i="56"/>
  <c r="C31" i="56" s="1"/>
  <c r="D31" i="56" s="1"/>
  <c r="E31" i="56" s="1"/>
  <c r="H73" i="56"/>
  <c r="C73" i="56" s="1"/>
  <c r="D73" i="56" s="1"/>
  <c r="E73" i="56" s="1"/>
  <c r="H80" i="56"/>
  <c r="C80" i="56" s="1"/>
  <c r="D80" i="56" s="1"/>
  <c r="E80" i="56" s="1"/>
  <c r="H45" i="56"/>
  <c r="C45" i="56" s="1"/>
  <c r="D45" i="56" s="1"/>
  <c r="E45" i="56" s="1"/>
  <c r="H113" i="56"/>
  <c r="C113" i="56" s="1"/>
  <c r="D113" i="56" s="1"/>
  <c r="E113" i="56" s="1"/>
  <c r="H67" i="56"/>
  <c r="C67" i="56" s="1"/>
  <c r="D67" i="56" s="1"/>
  <c r="E67" i="56" s="1"/>
  <c r="H23" i="56"/>
  <c r="C23" i="56" s="1"/>
  <c r="D23" i="56" s="1"/>
  <c r="E23" i="56" s="1"/>
  <c r="H146" i="56"/>
  <c r="C146" i="56" s="1"/>
  <c r="D146" i="56" s="1"/>
  <c r="E146" i="56" s="1"/>
  <c r="H66" i="56"/>
  <c r="C66" i="56" s="1"/>
  <c r="D66" i="56" s="1"/>
  <c r="E66" i="56" s="1"/>
  <c r="H57" i="56"/>
  <c r="C57" i="56" s="1"/>
  <c r="D57" i="56" s="1"/>
  <c r="E57" i="56" s="1"/>
  <c r="H78" i="56"/>
  <c r="C78" i="56" s="1"/>
  <c r="D78" i="56" s="1"/>
  <c r="E78" i="56" s="1"/>
  <c r="H64" i="56"/>
  <c r="C64" i="56" s="1"/>
  <c r="D64" i="56" s="1"/>
  <c r="E64" i="56" s="1"/>
  <c r="H21" i="56"/>
  <c r="C21" i="56" s="1"/>
  <c r="D21" i="56" s="1"/>
  <c r="E21" i="56" s="1"/>
  <c r="H135" i="56"/>
  <c r="C135" i="56" s="1"/>
  <c r="D135" i="56" s="1"/>
  <c r="E135" i="56" s="1"/>
  <c r="H87" i="56"/>
  <c r="C87" i="56" s="1"/>
  <c r="D87" i="56" s="1"/>
  <c r="E87" i="56" s="1"/>
  <c r="H55" i="56"/>
  <c r="C55" i="56" s="1"/>
  <c r="D55" i="56" s="1"/>
  <c r="E55" i="56" s="1"/>
  <c r="H34" i="56"/>
  <c r="C34" i="56" s="1"/>
  <c r="D34" i="56" s="1"/>
  <c r="E34" i="56" s="1"/>
  <c r="H102" i="56"/>
  <c r="C102" i="56" s="1"/>
  <c r="D102" i="56" s="1"/>
  <c r="E102" i="56" s="1"/>
  <c r="H148" i="56"/>
  <c r="C148" i="56" s="1"/>
  <c r="D148" i="56" s="1"/>
  <c r="E148" i="56" s="1"/>
  <c r="H84" i="56"/>
  <c r="C84" i="56" s="1"/>
  <c r="D84" i="56" s="1"/>
  <c r="E84" i="56" s="1"/>
  <c r="H42" i="56"/>
  <c r="C42" i="56" s="1"/>
  <c r="D42" i="56" s="1"/>
  <c r="E42" i="56" s="1"/>
  <c r="Q10" i="56"/>
  <c r="B10" i="56" l="1"/>
  <c r="Q11" i="56"/>
  <c r="Q12" i="56" l="1"/>
  <c r="B11" i="56"/>
  <c r="Q13" i="56" l="1"/>
  <c r="B12" i="56"/>
  <c r="B13" i="56" l="1"/>
  <c r="Q14" i="56"/>
  <c r="B14" i="56" l="1"/>
  <c r="Q15" i="56"/>
  <c r="B15" i="56" l="1"/>
  <c r="Q16" i="56"/>
  <c r="Q17" i="56" l="1"/>
  <c r="B16" i="56"/>
  <c r="B17" i="56" l="1"/>
  <c r="Q18" i="56"/>
  <c r="Q19" i="56" l="1"/>
  <c r="B18" i="56"/>
  <c r="Q20" i="56" l="1"/>
  <c r="B19" i="56"/>
  <c r="B20" i="56" l="1"/>
  <c r="Q21" i="56"/>
  <c r="Q22" i="56" l="1"/>
  <c r="B21" i="56"/>
  <c r="B22" i="56" l="1"/>
  <c r="Q23" i="56"/>
  <c r="Q24" i="56" l="1"/>
  <c r="B23" i="56"/>
  <c r="Q25" i="56" l="1"/>
  <c r="B24" i="56"/>
  <c r="B25" i="56" l="1"/>
  <c r="Q26" i="56"/>
  <c r="Q27" i="56" l="1"/>
  <c r="B26" i="56"/>
  <c r="Q28" i="56" l="1"/>
  <c r="B27" i="56"/>
  <c r="Q29" i="56" l="1"/>
  <c r="B28" i="56"/>
  <c r="Q30" i="56" l="1"/>
  <c r="B29" i="56"/>
  <c r="Q31" i="56" l="1"/>
  <c r="B30" i="56"/>
  <c r="B31" i="56" l="1"/>
  <c r="Q32" i="56"/>
  <c r="Q33" i="56" l="1"/>
  <c r="B32" i="56"/>
  <c r="Q34" i="56" l="1"/>
  <c r="B33" i="56"/>
  <c r="Q35" i="56" l="1"/>
  <c r="B34" i="56"/>
  <c r="Q36" i="56" l="1"/>
  <c r="B35" i="56"/>
  <c r="B36" i="56" l="1"/>
  <c r="Q37" i="56"/>
  <c r="Q38" i="56" l="1"/>
  <c r="B37" i="56"/>
  <c r="B38" i="56" l="1"/>
  <c r="Q39" i="56"/>
  <c r="Q40" i="56" l="1"/>
  <c r="B39" i="56"/>
  <c r="Q41" i="56" l="1"/>
  <c r="B40" i="56"/>
  <c r="B41" i="56" l="1"/>
  <c r="Q42" i="56"/>
  <c r="Q43" i="56" l="1"/>
  <c r="B42" i="56"/>
  <c r="Q44" i="56" l="1"/>
  <c r="B43" i="56"/>
  <c r="B44" i="56" l="1"/>
  <c r="Q45" i="56"/>
  <c r="Q46" i="56" l="1"/>
  <c r="B45" i="56"/>
  <c r="Q47" i="56" l="1"/>
  <c r="B46" i="56"/>
  <c r="B47" i="56" l="1"/>
  <c r="Q48" i="56"/>
  <c r="B48" i="56" l="1"/>
  <c r="Q49" i="56"/>
  <c r="Q50" i="56" l="1"/>
  <c r="B49" i="56"/>
  <c r="Q51" i="56" l="1"/>
  <c r="B50" i="56"/>
  <c r="Q52" i="56" l="1"/>
  <c r="B51" i="56"/>
  <c r="Q53" i="56" l="1"/>
  <c r="B52" i="56"/>
  <c r="B53" i="56" l="1"/>
  <c r="Q54" i="56"/>
  <c r="B54" i="56" l="1"/>
  <c r="Q55" i="56"/>
  <c r="B55" i="56" l="1"/>
  <c r="Q56" i="56"/>
  <c r="B56" i="56" l="1"/>
  <c r="Q57" i="56"/>
  <c r="B57" i="56" l="1"/>
  <c r="Q58" i="56"/>
  <c r="B58" i="56" l="1"/>
  <c r="Q59" i="56"/>
  <c r="Q60" i="56" l="1"/>
  <c r="B59" i="56"/>
  <c r="B60" i="56" l="1"/>
  <c r="Q61" i="56"/>
  <c r="B61" i="56" l="1"/>
  <c r="Q62" i="56"/>
  <c r="B62" i="56" l="1"/>
  <c r="Q63" i="56"/>
  <c r="Q64" i="56" l="1"/>
  <c r="B63" i="56"/>
  <c r="Q65" i="56" l="1"/>
  <c r="B64" i="56"/>
  <c r="B65" i="56" l="1"/>
  <c r="Q66" i="56"/>
  <c r="Q67" i="56" l="1"/>
  <c r="B66" i="56"/>
  <c r="B67" i="56" l="1"/>
  <c r="Q68" i="56"/>
  <c r="B68" i="56" l="1"/>
  <c r="Q69" i="56"/>
  <c r="Q70" i="56" l="1"/>
  <c r="B69" i="56"/>
  <c r="Q71" i="56" l="1"/>
  <c r="B70" i="56"/>
  <c r="Q72" i="56" l="1"/>
  <c r="B71" i="56"/>
  <c r="B72" i="56" l="1"/>
  <c r="Q73" i="56"/>
  <c r="B73" i="56" l="1"/>
  <c r="Q74" i="56"/>
  <c r="B74" i="56" l="1"/>
  <c r="Q75" i="56"/>
  <c r="B75" i="56" l="1"/>
  <c r="Q76" i="56"/>
  <c r="Q77" i="56" l="1"/>
  <c r="B76" i="56"/>
  <c r="B77" i="56" l="1"/>
  <c r="Q78" i="56"/>
  <c r="Q79" i="56" l="1"/>
  <c r="B78" i="56"/>
  <c r="B79" i="56" l="1"/>
  <c r="Q80" i="56"/>
  <c r="Q81" i="56" l="1"/>
  <c r="B80" i="56"/>
  <c r="B81" i="56" l="1"/>
  <c r="Q82" i="56"/>
  <c r="B82" i="56" l="1"/>
  <c r="Q83" i="56"/>
  <c r="B83" i="56" l="1"/>
  <c r="Q84" i="56"/>
  <c r="B84" i="56" l="1"/>
  <c r="Q85" i="56"/>
  <c r="B85" i="56" l="1"/>
  <c r="Q86" i="56"/>
  <c r="Q87" i="56" l="1"/>
  <c r="B86" i="56"/>
  <c r="B87" i="56" l="1"/>
  <c r="Q88" i="56"/>
  <c r="Q89" i="56" l="1"/>
  <c r="B88" i="56"/>
  <c r="B89" i="56" l="1"/>
  <c r="Q90" i="56"/>
  <c r="B90" i="56" l="1"/>
  <c r="Q91" i="56"/>
  <c r="Q92" i="56" l="1"/>
  <c r="B91" i="56"/>
  <c r="B92" i="56" l="1"/>
  <c r="Q93" i="56"/>
  <c r="Q94" i="56" l="1"/>
  <c r="B93" i="56"/>
  <c r="Q95" i="56" l="1"/>
  <c r="B94" i="56"/>
  <c r="B95" i="56" l="1"/>
  <c r="Q96" i="56"/>
  <c r="Q97" i="56" l="1"/>
  <c r="B96" i="56"/>
  <c r="Q98" i="56" l="1"/>
  <c r="B97" i="56"/>
  <c r="Q99" i="56" l="1"/>
  <c r="B98" i="56"/>
  <c r="B99" i="56" l="1"/>
  <c r="Q100" i="56"/>
  <c r="B100" i="56" l="1"/>
  <c r="Q101" i="56"/>
  <c r="Q102" i="56" l="1"/>
  <c r="B101" i="56"/>
  <c r="B102" i="56" l="1"/>
  <c r="Q103" i="56"/>
  <c r="Q104" i="56" l="1"/>
  <c r="B103" i="56"/>
  <c r="B104" i="56" l="1"/>
  <c r="Q105" i="56"/>
  <c r="Q106" i="56" l="1"/>
  <c r="B105" i="56"/>
  <c r="Q107" i="56" l="1"/>
  <c r="B106" i="56"/>
  <c r="B107" i="56" l="1"/>
  <c r="Q108" i="56"/>
  <c r="Q109" i="56" l="1"/>
  <c r="B108" i="56"/>
  <c r="B109" i="56" l="1"/>
  <c r="Q110" i="56"/>
  <c r="Q111" i="56" l="1"/>
  <c r="B110" i="56"/>
  <c r="B111" i="56" l="1"/>
  <c r="Q112" i="56"/>
  <c r="Q113" i="56" l="1"/>
  <c r="B112" i="56"/>
  <c r="Q114" i="56" l="1"/>
  <c r="B113" i="56"/>
  <c r="Q115" i="56" l="1"/>
  <c r="B114" i="56"/>
  <c r="B115" i="56" l="1"/>
  <c r="Q116" i="56"/>
  <c r="B116" i="56" l="1"/>
  <c r="Q117" i="56"/>
  <c r="B117" i="56" l="1"/>
  <c r="Q118" i="56"/>
  <c r="B118" i="56" l="1"/>
  <c r="Q119" i="56"/>
  <c r="B119" i="56" l="1"/>
  <c r="Q120" i="56"/>
  <c r="Q121" i="56" l="1"/>
  <c r="B120" i="56"/>
  <c r="Q122" i="56" l="1"/>
  <c r="B121" i="56"/>
  <c r="B122" i="56" l="1"/>
  <c r="Q123" i="56"/>
  <c r="B123" i="56" l="1"/>
  <c r="Q124" i="56"/>
  <c r="Q125" i="56" l="1"/>
  <c r="B124" i="56"/>
  <c r="B125" i="56" l="1"/>
  <c r="Q126" i="56"/>
  <c r="B126" i="56" l="1"/>
  <c r="Q127" i="56"/>
  <c r="B127" i="56" l="1"/>
  <c r="Q128" i="56"/>
  <c r="B128" i="56" l="1"/>
  <c r="Q129" i="56"/>
  <c r="B129" i="56" l="1"/>
  <c r="Q130" i="56"/>
  <c r="B130" i="56" l="1"/>
  <c r="Q131" i="56"/>
  <c r="Q132" i="56" l="1"/>
  <c r="B131" i="56"/>
  <c r="Q133" i="56" l="1"/>
  <c r="B132" i="56"/>
  <c r="B133" i="56" l="1"/>
  <c r="Q134" i="56"/>
  <c r="B134" i="56" l="1"/>
  <c r="Q135" i="56"/>
  <c r="B135" i="56" l="1"/>
  <c r="Q136" i="56"/>
  <c r="Q137" i="56" l="1"/>
  <c r="B136" i="56"/>
  <c r="Q138" i="56" l="1"/>
  <c r="B137" i="56"/>
  <c r="B138" i="56" l="1"/>
  <c r="Q139" i="56"/>
  <c r="Q140" i="56" l="1"/>
  <c r="B139" i="56"/>
  <c r="B140" i="56" l="1"/>
  <c r="Q141" i="56"/>
  <c r="B141" i="56" l="1"/>
  <c r="Q142" i="56"/>
  <c r="B142" i="56" l="1"/>
  <c r="Q143" i="56"/>
  <c r="Q144" i="56" l="1"/>
  <c r="B143" i="56"/>
  <c r="B144" i="56" l="1"/>
  <c r="Q145" i="56"/>
  <c r="Q146" i="56" l="1"/>
  <c r="B145" i="56"/>
  <c r="B146" i="56" l="1"/>
  <c r="Q147" i="56"/>
  <c r="B147" i="56" l="1"/>
  <c r="Q148" i="56"/>
  <c r="Q149" i="56" l="1"/>
  <c r="B149" i="56" s="1"/>
  <c r="B148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C2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sharedStrings.xml><?xml version="1.0" encoding="utf-8"?>
<sst xmlns="http://schemas.openxmlformats.org/spreadsheetml/2006/main" count="2572" uniqueCount="959">
  <si>
    <t>Unit</t>
  </si>
  <si>
    <t>Desc</t>
  </si>
  <si>
    <t>Name</t>
  </si>
  <si>
    <t>Industry</t>
  </si>
  <si>
    <t>Transport</t>
  </si>
  <si>
    <t>Hydro</t>
  </si>
  <si>
    <t>Oil</t>
  </si>
  <si>
    <t>Solar</t>
  </si>
  <si>
    <t>Nuc</t>
  </si>
  <si>
    <t>Varbl</t>
  </si>
  <si>
    <t>Residential</t>
  </si>
  <si>
    <t>N</t>
  </si>
  <si>
    <t>VAR_FOUT</t>
  </si>
  <si>
    <t>kt</t>
  </si>
  <si>
    <t>TS</t>
  </si>
  <si>
    <t>VAR_CAP</t>
  </si>
  <si>
    <t>GW</t>
  </si>
  <si>
    <t>Scen</t>
  </si>
  <si>
    <t>Y</t>
  </si>
  <si>
    <t>Ldesc</t>
  </si>
  <si>
    <t>ProcOrd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</si>
  <si>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</si>
  <si>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</si>
  <si>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</si>
  <si>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</si>
  <si>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</si>
  <si>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</si>
  <si>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</si>
  <si>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</si>
  <si>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</si>
  <si>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</si>
  <si>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</si>
  <si>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</si>
  <si>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</si>
  <si>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</si>
  <si>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</si>
  <si>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VAR_FIN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</si>
  <si>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</si>
  <si>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</si>
  <si>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</si>
  <si>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</si>
  <si>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</si>
  <si>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</si>
  <si>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</si>
  <si>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</si>
  <si>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</si>
  <si>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</si>
  <si>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</si>
  <si>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Price_Ann-Elec</t>
  </si>
  <si>
    <t>Electricity - Price - averaged over timeslices</t>
  </si>
  <si>
    <t>Ref</t>
  </si>
  <si>
    <t>Hi</t>
  </si>
  <si>
    <t>Lo</t>
  </si>
  <si>
    <t>CO2</t>
  </si>
  <si>
    <t>C</t>
  </si>
  <si>
    <t>S</t>
  </si>
  <si>
    <t>Shale</t>
  </si>
  <si>
    <t>RECost</t>
  </si>
  <si>
    <t>R</t>
  </si>
  <si>
    <t>Cap</t>
  </si>
  <si>
    <t>25-5</t>
  </si>
  <si>
    <t>50-5</t>
  </si>
  <si>
    <t>25-1</t>
  </si>
  <si>
    <t>50-1</t>
  </si>
  <si>
    <t>Re</t>
  </si>
  <si>
    <t>Rg</t>
  </si>
  <si>
    <t>Regions</t>
  </si>
  <si>
    <t>ScenG_MC-Reg~CO2</t>
  </si>
  <si>
    <t>ScenG_MC-RE~Shale</t>
  </si>
  <si>
    <t>IEMM</t>
  </si>
  <si>
    <t>~ATS</t>
  </si>
  <si>
    <t>Region</t>
  </si>
  <si>
    <t>Year</t>
  </si>
  <si>
    <t>Val</t>
  </si>
  <si>
    <t>Power</t>
  </si>
  <si>
    <t>PJ</t>
  </si>
  <si>
    <t>MEuro05</t>
  </si>
  <si>
    <t>Eur/GJ</t>
  </si>
  <si>
    <t>DCAP</t>
  </si>
  <si>
    <t>group_by</t>
  </si>
  <si>
    <t>p</t>
  </si>
  <si>
    <t>IMP*Z</t>
  </si>
  <si>
    <t>DummyImp</t>
  </si>
  <si>
    <t>all dummy imports</t>
  </si>
  <si>
    <t>cp</t>
  </si>
  <si>
    <t>User_conFXM</t>
  </si>
  <si>
    <t>Eur/UCU</t>
  </si>
  <si>
    <t>UC_shadowprice</t>
  </si>
  <si>
    <t>u</t>
  </si>
  <si>
    <t>shadow prices of all Ucs</t>
  </si>
  <si>
    <t>t</t>
  </si>
  <si>
    <t>process</t>
  </si>
  <si>
    <t>timeslice</t>
  </si>
  <si>
    <t>userconstraint</t>
  </si>
  <si>
    <t>v</t>
  </si>
  <si>
    <t>vintage</t>
  </si>
  <si>
    <t>~Varbl_map</t>
  </si>
  <si>
    <t>dimension</t>
  </si>
  <si>
    <t>name</t>
  </si>
  <si>
    <t>description</t>
  </si>
  <si>
    <t>Electricity</t>
  </si>
  <si>
    <t>Sector</t>
  </si>
  <si>
    <t>DMD_in</t>
  </si>
  <si>
    <t>DMD_out</t>
  </si>
  <si>
    <t>DMD</t>
  </si>
  <si>
    <t>DEM</t>
  </si>
  <si>
    <t>show_me</t>
  </si>
  <si>
    <t>discard</t>
  </si>
  <si>
    <t>PWR-BIO</t>
  </si>
  <si>
    <t>PWR-BIO-CCS</t>
  </si>
  <si>
    <t>PWR-MSW</t>
  </si>
  <si>
    <t>PWR-COA</t>
  </si>
  <si>
    <t>PWR-COA-CCS</t>
  </si>
  <si>
    <t>PWR-PEA</t>
  </si>
  <si>
    <t>PWR-PEA-CCS</t>
  </si>
  <si>
    <t>PWR-GAS</t>
  </si>
  <si>
    <t>PWR-GAS-CCS</t>
  </si>
  <si>
    <t>PWR-H2</t>
  </si>
  <si>
    <t>PWR-HYD</t>
  </si>
  <si>
    <t>PWR-OCE</t>
  </si>
  <si>
    <t>PWR-OIL</t>
  </si>
  <si>
    <t>PWR-SOL</t>
  </si>
  <si>
    <t>PWR-WIN-OF</t>
  </si>
  <si>
    <t>PWR-WIN-ON</t>
  </si>
  <si>
    <t>PWR-GEO</t>
  </si>
  <si>
    <t>Biomass without CCS</t>
  </si>
  <si>
    <t>Biomass with CCS</t>
  </si>
  <si>
    <t>Municipal Solid Waste</t>
  </si>
  <si>
    <t>Coal without CCS</t>
  </si>
  <si>
    <t>Coal with CCS</t>
  </si>
  <si>
    <t>Peat without CCS</t>
  </si>
  <si>
    <t>Peat with CCS</t>
  </si>
  <si>
    <t>Gas without CCS</t>
  </si>
  <si>
    <t>Gas with CCS</t>
  </si>
  <si>
    <t>Hydrogen</t>
  </si>
  <si>
    <t>Wave and Tidal</t>
  </si>
  <si>
    <t>Wind offshore</t>
  </si>
  <si>
    <t>Wind onshore</t>
  </si>
  <si>
    <t>Geothermal</t>
  </si>
  <si>
    <t>VAR_POUT</t>
  </si>
  <si>
    <t>PJ2GW</t>
  </si>
  <si>
    <t>TIM</t>
  </si>
  <si>
    <t>PJ2gw</t>
  </si>
  <si>
    <t>~process_map</t>
  </si>
  <si>
    <t>Mode</t>
  </si>
  <si>
    <t>Tech</t>
  </si>
  <si>
    <t>AVI</t>
  </si>
  <si>
    <t>aviation</t>
  </si>
  <si>
    <t>DOM</t>
  </si>
  <si>
    <t>domestic</t>
  </si>
  <si>
    <t>BUS</t>
  </si>
  <si>
    <t>bus</t>
  </si>
  <si>
    <t>INT</t>
  </si>
  <si>
    <t>international</t>
  </si>
  <si>
    <t>CAR</t>
  </si>
  <si>
    <t>car</t>
  </si>
  <si>
    <t>BEV</t>
  </si>
  <si>
    <t>CYC</t>
  </si>
  <si>
    <t>cycle</t>
  </si>
  <si>
    <t>ICE</t>
  </si>
  <si>
    <t>GTR</t>
  </si>
  <si>
    <t>goods train</t>
  </si>
  <si>
    <t>FCV</t>
  </si>
  <si>
    <t>HGT</t>
  </si>
  <si>
    <t>heavy truck</t>
  </si>
  <si>
    <t>HEV</t>
  </si>
  <si>
    <t>HPT</t>
  </si>
  <si>
    <t>heavy pass train</t>
  </si>
  <si>
    <t>PHE</t>
  </si>
  <si>
    <t>LGT</t>
  </si>
  <si>
    <t>light truck</t>
  </si>
  <si>
    <t>LPT</t>
  </si>
  <si>
    <t>light pass train</t>
  </si>
  <si>
    <t>EV_</t>
  </si>
  <si>
    <t>MGT</t>
  </si>
  <si>
    <t>med truck</t>
  </si>
  <si>
    <t>NEW</t>
  </si>
  <si>
    <t>MOT</t>
  </si>
  <si>
    <t>moto</t>
  </si>
  <si>
    <t>CON</t>
  </si>
  <si>
    <t>NAV</t>
  </si>
  <si>
    <t>navigation</t>
  </si>
  <si>
    <t>WLK</t>
  </si>
  <si>
    <t>TAX</t>
  </si>
  <si>
    <t>taxi</t>
  </si>
  <si>
    <t>TUR</t>
  </si>
  <si>
    <t>tourism</t>
  </si>
  <si>
    <t>OTH</t>
  </si>
  <si>
    <t>other</t>
  </si>
  <si>
    <t>walk</t>
  </si>
  <si>
    <t>mode</t>
  </si>
  <si>
    <t>pc</t>
  </si>
  <si>
    <t>TRAF*</t>
  </si>
  <si>
    <t>BioDiesel</t>
  </si>
  <si>
    <t>BioCNG</t>
  </si>
  <si>
    <t>CNG</t>
  </si>
  <si>
    <t>Cycling</t>
  </si>
  <si>
    <t>Diesel</t>
  </si>
  <si>
    <t>BioEthanol</t>
  </si>
  <si>
    <t>Gasoline</t>
  </si>
  <si>
    <t>Kerosene</t>
  </si>
  <si>
    <t>LNG</t>
  </si>
  <si>
    <t>Walking</t>
  </si>
  <si>
    <t>TRABDL</t>
  </si>
  <si>
    <t>TRABNG</t>
  </si>
  <si>
    <t>TRACNG</t>
  </si>
  <si>
    <t>TRACYC</t>
  </si>
  <si>
    <t>TRADST</t>
  </si>
  <si>
    <t>TRAELC</t>
  </si>
  <si>
    <t>TRAETH</t>
  </si>
  <si>
    <t>TRAGSL</t>
  </si>
  <si>
    <t>TRAKER</t>
  </si>
  <si>
    <t>TRALNG</t>
  </si>
  <si>
    <t>TRAWLK</t>
  </si>
  <si>
    <t>fuel</t>
  </si>
  <si>
    <t>~commodity_map</t>
  </si>
  <si>
    <t>ELCC</t>
  </si>
  <si>
    <t>PWRCO2N</t>
  </si>
  <si>
    <t>*CO2?</t>
  </si>
  <si>
    <t>*CO2S</t>
  </si>
  <si>
    <t>CO2_emissions</t>
  </si>
  <si>
    <t>AGR*</t>
  </si>
  <si>
    <t>SRV*</t>
  </si>
  <si>
    <t>PWR*</t>
  </si>
  <si>
    <t>IND*</t>
  </si>
  <si>
    <t>RSD*</t>
  </si>
  <si>
    <t>TRA*</t>
  </si>
  <si>
    <t>Agri</t>
  </si>
  <si>
    <t>Services</t>
  </si>
  <si>
    <t>emi_type</t>
  </si>
  <si>
    <t>*</t>
  </si>
  <si>
    <t>combustion</t>
  </si>
  <si>
    <t>*P</t>
  </si>
  <si>
    <t>Process</t>
  </si>
  <si>
    <t>*S</t>
  </si>
  <si>
    <t>Captured</t>
  </si>
  <si>
    <t>pset_set</t>
  </si>
  <si>
    <t>STR-BAT</t>
  </si>
  <si>
    <t>STR-PH</t>
  </si>
  <si>
    <t>STR-H2</t>
  </si>
  <si>
    <t>Batteries</t>
  </si>
  <si>
    <t>Pumped hydro</t>
  </si>
  <si>
    <t>Hydrogen Storage</t>
  </si>
  <si>
    <t>ELE,CHP</t>
  </si>
  <si>
    <t>Elec_NewCap</t>
  </si>
  <si>
    <t>Elec_Cap</t>
  </si>
  <si>
    <t>Elec_Prod</t>
  </si>
  <si>
    <t>Elec_CO2_Emi</t>
  </si>
  <si>
    <t>Elec_CO2_Cap</t>
  </si>
  <si>
    <t>Elec_Fuel</t>
  </si>
  <si>
    <t>Elec_Icost</t>
  </si>
  <si>
    <t>Installed Capacity</t>
  </si>
  <si>
    <t xml:space="preserve">New Capacity </t>
  </si>
  <si>
    <t>Electricity Production</t>
  </si>
  <si>
    <t>CO2 Emissions from electricity production</t>
  </si>
  <si>
    <t>CO2 Emissions captured from electricity production</t>
  </si>
  <si>
    <t>Fuel Consumption</t>
  </si>
  <si>
    <t>Annualized Investement cost</t>
  </si>
  <si>
    <t>ignore</t>
  </si>
  <si>
    <t>T_neg_andor</t>
  </si>
  <si>
    <t>&lt;gen_cname&gt;_src_&lt;gen_pname&gt;</t>
  </si>
  <si>
    <t>p,c</t>
  </si>
  <si>
    <t>&lt;gen_cname&gt;_snk_&lt;gen_pname&gt;</t>
  </si>
  <si>
    <t>~TS_Defs: snk_attr=The busy Sankey</t>
  </si>
  <si>
    <t>Pjneg</t>
  </si>
  <si>
    <t>Primary</t>
  </si>
  <si>
    <t>TRAPS</t>
  </si>
  <si>
    <t>TRAPM</t>
  </si>
  <si>
    <t>TRAPL</t>
  </si>
  <si>
    <t>TRAF</t>
  </si>
  <si>
    <t>TTURS</t>
  </si>
  <si>
    <t>TNAV</t>
  </si>
  <si>
    <t>TOTH</t>
  </si>
  <si>
    <t>TAVIDOM</t>
  </si>
  <si>
    <t>TAVIINT</t>
  </si>
  <si>
    <t>Short-range passenger travels</t>
  </si>
  <si>
    <t>Medium-range passenger travels</t>
  </si>
  <si>
    <t>Long-range passenger travels</t>
  </si>
  <si>
    <t>Goods vehicle for freight</t>
  </si>
  <si>
    <t xml:space="preserve">Turism fuel </t>
  </si>
  <si>
    <t xml:space="preserve">Navigation fuel </t>
  </si>
  <si>
    <t>Unspecified fuel</t>
  </si>
  <si>
    <t>Aviation domestic</t>
  </si>
  <si>
    <t>Aviation international</t>
  </si>
  <si>
    <t>DMD_TRA-F-HTRUCK</t>
  </si>
  <si>
    <t>DMD_TRA-F-LTRUCK</t>
  </si>
  <si>
    <t>DMD_TRA-F-MTRUCK</t>
  </si>
  <si>
    <t>DMD_TRA-F-TRAIN</t>
  </si>
  <si>
    <t>DMD_TRA-P-ACTIVE</t>
  </si>
  <si>
    <t>DMD_TRA-P-BUS</t>
  </si>
  <si>
    <t>DMD_TRA-P-CAR</t>
  </si>
  <si>
    <t>DMD_TRA-P-HPT</t>
  </si>
  <si>
    <t>DMD_TRA-P-LPT</t>
  </si>
  <si>
    <t>DMD_TRA-P-MOT</t>
  </si>
  <si>
    <t>DMD_TRA-P-TAXI</t>
  </si>
  <si>
    <t>heavy goods truck</t>
  </si>
  <si>
    <t>light goods truck</t>
  </si>
  <si>
    <t>medium goods truck</t>
  </si>
  <si>
    <t>train</t>
  </si>
  <si>
    <t>active modes</t>
  </si>
  <si>
    <t>private car</t>
  </si>
  <si>
    <t>heavy passenger train</t>
  </si>
  <si>
    <t>light passenger train</t>
  </si>
  <si>
    <t>motorcycles</t>
  </si>
  <si>
    <t>~TS_Defs: snk_attr=Transport</t>
  </si>
  <si>
    <t>&lt;c&gt;</t>
  </si>
  <si>
    <t>&lt;gen_cname&gt;_src_&lt;pset&gt;</t>
  </si>
  <si>
    <t>&lt;gen_cname&gt;_snk_&lt;pset&gt;</t>
  </si>
  <si>
    <t>NRG,DEM</t>
  </si>
  <si>
    <t>pset_ci</t>
  </si>
  <si>
    <t>pset_co</t>
  </si>
  <si>
    <t>Sector_prc</t>
  </si>
  <si>
    <t>Agriculture</t>
  </si>
  <si>
    <t>PRC_AGR</t>
  </si>
  <si>
    <t>PRC_SRV</t>
  </si>
  <si>
    <t>PRC_IND</t>
  </si>
  <si>
    <t>PRC_PWR</t>
  </si>
  <si>
    <t>PRC_RSD</t>
  </si>
  <si>
    <t>Supply</t>
  </si>
  <si>
    <t>PRC_SUP</t>
  </si>
  <si>
    <t>PRC_TRA</t>
  </si>
  <si>
    <t>BLD</t>
  </si>
  <si>
    <t>R-RSD*</t>
  </si>
  <si>
    <t>All dwellings</t>
  </si>
  <si>
    <t>R*Apt*</t>
  </si>
  <si>
    <t>Apartment</t>
  </si>
  <si>
    <t>R*Att*</t>
  </si>
  <si>
    <t>Attached</t>
  </si>
  <si>
    <t>R*Det*</t>
  </si>
  <si>
    <t>Detached</t>
  </si>
  <si>
    <t>NRGSRV</t>
  </si>
  <si>
    <t>Space heating</t>
  </si>
  <si>
    <t>RSD_BLD-XXX_NRGSRV-WS</t>
  </si>
  <si>
    <t>RSDSH*</t>
  </si>
  <si>
    <t>Water heating</t>
  </si>
  <si>
    <t>RSDWH*</t>
  </si>
  <si>
    <t>Space cooling</t>
  </si>
  <si>
    <t>RSDSC*</t>
  </si>
  <si>
    <t>R-SW*</t>
  </si>
  <si>
    <t>Space and water heating (combi)</t>
  </si>
  <si>
    <t>Lighting</t>
  </si>
  <si>
    <t>RSD_BLD-XXX_NRGSRV-LT</t>
  </si>
  <si>
    <t>Pumps and fans</t>
  </si>
  <si>
    <t>RSD_BLD-XXX_NRGSRV-PF</t>
  </si>
  <si>
    <t>Cooking</t>
  </si>
  <si>
    <t>RSD_BLD-XXX_NRGSRV-CK</t>
  </si>
  <si>
    <t>Refrigeration</t>
  </si>
  <si>
    <t>RSD_BLD-XXX_NRGSRV-RF</t>
  </si>
  <si>
    <t>Cloth washing</t>
  </si>
  <si>
    <t>RSD_BLD-XXX_NRGSRV-CW</t>
  </si>
  <si>
    <t>Cloth drying</t>
  </si>
  <si>
    <t>RSD_BLD-XXX_NRGSRV-CD</t>
  </si>
  <si>
    <t>Dish washing</t>
  </si>
  <si>
    <t>RSD_BLD-XXX_NRGSRV-DW</t>
  </si>
  <si>
    <t>Other electric appliances</t>
  </si>
  <si>
    <t>RSD_BLD-XXX_NRGSRV-OE</t>
  </si>
  <si>
    <t>Other applications</t>
  </si>
  <si>
    <t>RSD_BLD-XXX_NRGSRV-OA</t>
  </si>
  <si>
    <t>Dwelling stock</t>
  </si>
  <si>
    <t>DMD_RSD-BLD-APT,DMD_RSD-BLD-ATT,DMD_RSD-BLD-DET</t>
  </si>
  <si>
    <t>Retrofit</t>
  </si>
  <si>
    <t>RSD_BLD-XXX_RTFT</t>
  </si>
  <si>
    <t>Space and water heating</t>
  </si>
  <si>
    <t>SRV-PU_NRGSRV-WS,SRV-CS_NRGSRV-WS</t>
  </si>
  <si>
    <t>SRV-PU_NRGSRV-LIG,SRV-CS_NRGSRV-LIG</t>
  </si>
  <si>
    <t>SRV-PU_NRGSRV-CK,SRV-CS_NRGSRV-CK</t>
  </si>
  <si>
    <t>SRV-PU_NRGSRV-OEL,SRV-CS_NRGSRV-OEL</t>
  </si>
  <si>
    <t>SRV-PU_NRGSRV-REF,SRV-CS_NRGSRV-REF</t>
  </si>
  <si>
    <t>Data centres</t>
  </si>
  <si>
    <t>DMD_SRV-CS_DC</t>
  </si>
  <si>
    <t>Public lighting</t>
  </si>
  <si>
    <t>DMD_SRV-PU_PLIG</t>
  </si>
  <si>
    <t>R-BLD*</t>
  </si>
  <si>
    <t>Existing</t>
  </si>
  <si>
    <t>*_X0,*_X1</t>
  </si>
  <si>
    <t>*_N1,*_N2,*_N3</t>
  </si>
  <si>
    <t>New</t>
  </si>
  <si>
    <t>*AptN1,*Att-N1,*Det-N1</t>
  </si>
  <si>
    <t>*HPN*</t>
  </si>
  <si>
    <t>R-RTFT*</t>
  </si>
  <si>
    <t>TECH</t>
  </si>
  <si>
    <t>R-SH*ELC*,R-WH*ELC*,R-SC*ELC*</t>
  </si>
  <si>
    <t>Electric resistance</t>
  </si>
  <si>
    <t>R-SH*GAS*,R-SW*GAS*,R-WH*GAS*</t>
  </si>
  <si>
    <t>Gas boiler</t>
  </si>
  <si>
    <t>R-SH*KER*,R-SW*KER*,R-WH*KER*</t>
  </si>
  <si>
    <t>Oil boiler</t>
  </si>
  <si>
    <t>R-SH*LPG*,R-SW*LPG*,R-WH*LPG*</t>
  </si>
  <si>
    <t>LPG boiler</t>
  </si>
  <si>
    <t>R-SH*COA*,R-SH*PEA*,R-SH*SMF*,R-SH*WOO*,R-WH*COA*,R-WH*PEA*,R-WH*SMF*,R-WH*WOO*,R-SW*WOO*</t>
  </si>
  <si>
    <t>Solid fuel</t>
  </si>
  <si>
    <t>R-SH*FPL*,R-SW*FPL*</t>
  </si>
  <si>
    <t>Wood pellets</t>
  </si>
  <si>
    <t>R-SH*HVO*,R-SW*HVO*</t>
  </si>
  <si>
    <t>HVO</t>
  </si>
  <si>
    <t>R-WH*SOL*</t>
  </si>
  <si>
    <t>Solar thermal</t>
  </si>
  <si>
    <t>R-SH*HET*,R-SW*HET*</t>
  </si>
  <si>
    <t>District heat</t>
  </si>
  <si>
    <t>R-LT*</t>
  </si>
  <si>
    <t>R-PF*</t>
  </si>
  <si>
    <t>Appliance</t>
  </si>
  <si>
    <t>Heat pump</t>
  </si>
  <si>
    <t>RSDAHT,RSDAHT2</t>
  </si>
  <si>
    <t>BER</t>
  </si>
  <si>
    <t>R-BLD*_A</t>
  </si>
  <si>
    <t>A</t>
  </si>
  <si>
    <t>R-BLD*_B1</t>
  </si>
  <si>
    <t>B1</t>
  </si>
  <si>
    <t>R-BLD*_B2</t>
  </si>
  <si>
    <t>B2</t>
  </si>
  <si>
    <t>R-BLD*_B3</t>
  </si>
  <si>
    <t>B3</t>
  </si>
  <si>
    <t>R-BLD*_C</t>
  </si>
  <si>
    <t>R-BLD*_D</t>
  </si>
  <si>
    <t>D</t>
  </si>
  <si>
    <t>R-BLD*_E</t>
  </si>
  <si>
    <t>E</t>
  </si>
  <si>
    <t>R-BLD*_F</t>
  </si>
  <si>
    <t>F</t>
  </si>
  <si>
    <t>R-BLD*_G</t>
  </si>
  <si>
    <t>G</t>
  </si>
  <si>
    <t>R-BLD*N1</t>
  </si>
  <si>
    <t>New build</t>
  </si>
  <si>
    <t>*HPN?-AB</t>
  </si>
  <si>
    <t>A-B</t>
  </si>
  <si>
    <t>*HPN?-C</t>
  </si>
  <si>
    <t>*HPN?-D</t>
  </si>
  <si>
    <t>*HPN?-E</t>
  </si>
  <si>
    <t>SUPPLY</t>
  </si>
  <si>
    <t>Import</t>
  </si>
  <si>
    <t>IRE-IMP</t>
  </si>
  <si>
    <t>Export</t>
  </si>
  <si>
    <t>IRE-EXP</t>
  </si>
  <si>
    <t>Mining</t>
  </si>
  <si>
    <t>IRE-MIN</t>
  </si>
  <si>
    <t>Dummy import</t>
  </si>
  <si>
    <t>DUMMY_IMPORT</t>
  </si>
  <si>
    <t>Hydrogen electrolysis</t>
  </si>
  <si>
    <t>SUP-H2-Electrolysis</t>
  </si>
  <si>
    <t>Primary biomass</t>
  </si>
  <si>
    <t>AGR-BIO</t>
  </si>
  <si>
    <t>PWRTECH</t>
  </si>
  <si>
    <t>Biomass</t>
  </si>
  <si>
    <t>Biomass CCS</t>
  </si>
  <si>
    <t>Municipal solid waste</t>
  </si>
  <si>
    <t>Coal</t>
  </si>
  <si>
    <t>Coal CCS</t>
  </si>
  <si>
    <t>Peat</t>
  </si>
  <si>
    <t>Peat CCS</t>
  </si>
  <si>
    <t>Gas</t>
  </si>
  <si>
    <t>Gas CCS</t>
  </si>
  <si>
    <t>Wave and tidal</t>
  </si>
  <si>
    <t>Battery storage</t>
  </si>
  <si>
    <t>Hydrogen storage</t>
  </si>
  <si>
    <t>INDSUB</t>
  </si>
  <si>
    <t>Cement</t>
  </si>
  <si>
    <t>DMD_IND-CEM</t>
  </si>
  <si>
    <t>Chemicals</t>
  </si>
  <si>
    <t>DMD_IND-CAF</t>
  </si>
  <si>
    <t>Food and drink</t>
  </si>
  <si>
    <t>DMD_IND-FAP</t>
  </si>
  <si>
    <t>Lime</t>
  </si>
  <si>
    <t>DMD_IND-LIM</t>
  </si>
  <si>
    <t>Metals</t>
  </si>
  <si>
    <t>DMD_IND-MAP</t>
  </si>
  <si>
    <t>Other industry</t>
  </si>
  <si>
    <t>DMD_IND-OMA</t>
  </si>
  <si>
    <t>Other minerals</t>
  </si>
  <si>
    <t>DMD_IND-ONM</t>
  </si>
  <si>
    <t>Wood products</t>
  </si>
  <si>
    <t>DMD_IND-WAP</t>
  </si>
  <si>
    <t>Electricity use</t>
  </si>
  <si>
    <t>DMD_IND-ELC</t>
  </si>
  <si>
    <t>Oil use</t>
  </si>
  <si>
    <t>DMD_IND-OIL</t>
  </si>
  <si>
    <t>TRAMODE</t>
  </si>
  <si>
    <t>Heavy goods truck</t>
  </si>
  <si>
    <t>Medium goods truck</t>
  </si>
  <si>
    <t>Light goods truck</t>
  </si>
  <si>
    <t>Freight train</t>
  </si>
  <si>
    <t>Active modes</t>
  </si>
  <si>
    <t>Bus</t>
  </si>
  <si>
    <t>Private car</t>
  </si>
  <si>
    <t>Heavy passenger train</t>
  </si>
  <si>
    <t>Light passenger train</t>
  </si>
  <si>
    <t>Motorcycles</t>
  </si>
  <si>
    <t>Taxi</t>
  </si>
  <si>
    <t>Domestic aviation</t>
  </si>
  <si>
    <t>DMD_TRA-R-AVIDOM</t>
  </si>
  <si>
    <t>International aviation</t>
  </si>
  <si>
    <t>DMD_TRA-R-AVIINT</t>
  </si>
  <si>
    <t>Navigation</t>
  </si>
  <si>
    <t>DMD_TRA-R-NAV</t>
  </si>
  <si>
    <t>Tourism</t>
  </si>
  <si>
    <t>DMD_TRA-R-TURS</t>
  </si>
  <si>
    <t>Unspecified</t>
  </si>
  <si>
    <t>DMD_TRA-R-OTH</t>
  </si>
  <si>
    <t>Notes (outside the table: columns G and H are blank, so Veda stops parsing at F)</t>
  </si>
  <si>
    <t>Sector_prc: process-side sector. The commodity map already declares a dimension</t>
  </si>
  <si>
    <t xml:space="preserve">  named Sector, so a different name is used here to avoid a column collision.</t>
  </si>
  <si>
    <t>BLD: use *Apt* / *Att* / *Det*, never *_Apt_* -- R-BLD_AptN1 has no separator</t>
  </si>
  <si>
    <t xml:space="preserve">  before N1 while its siblings are R-BLD_Att-N1 and R-BLD_Det-N1.</t>
  </si>
  <si>
    <t>NRGSRV: R-SW* combi boilers produce RSDSH* and RSDWH* from one fuel input, so</t>
  </si>
  <si>
    <t xml:space="preserve">  they cannot be split between the two services. They get their own value and</t>
  </si>
  <si>
    <t xml:space="preserve">  are listed last so the later-wins rule overrides the pset_co rows above.</t>
  </si>
  <si>
    <t>TECH: the Heat pump row is last on purpose. In TIM the 2020 heat pumps are</t>
  </si>
  <si>
    <t xml:space="preserve">  R-SH_*_ELC_X1 and R-WH_*_ELC_X1 -- they do not match *HPN* and are only</t>
  </si>
  <si>
    <t xml:space="preserve">  identifiable by consuming RSDAHT / RSDAHT2. Classifying on pset_ci and</t>
  </si>
  <si>
    <t xml:space="preserve">  placing the row last overrides the Electric resistance rows above.</t>
  </si>
  <si>
    <t xml:space="preserve">  This mirrors SRV_PU-HP / SRV_CS-HP in SetRules, which already key on SRVAHT.</t>
  </si>
  <si>
    <t>INDSUB: only the active psets are listed. IND_Sets-Proc rows 3-16 are prefixed</t>
  </si>
  <si>
    <t xml:space="preserve">  \I: (comment), so DMD_IND-CON, -EOE, -FAB, -MAE, -NEM, -PX4, -RAP, -TAP,</t>
  </si>
  <si>
    <t xml:space="preserve">  -TEM are not defined -- yet IND_FEC_Sector in Resultviews.json still lists</t>
  </si>
  <si>
    <t xml:space="preserve">  them. Worth confirming against a run.</t>
  </si>
  <si>
    <t>TRAMODE: pset-driven alternative to the name-pattern mode dimension on the</t>
  </si>
  <si>
    <t xml:space="preserve">  existing process map sheet. Keep one of the two, not both.</t>
  </si>
  <si>
    <t>cset_set</t>
  </si>
  <si>
    <t>*ELC*</t>
  </si>
  <si>
    <t>*NGA,*GAS</t>
  </si>
  <si>
    <t>Natural gas</t>
  </si>
  <si>
    <t>*KER</t>
  </si>
  <si>
    <t>*DST</t>
  </si>
  <si>
    <t>*GSL</t>
  </si>
  <si>
    <t>*HFO</t>
  </si>
  <si>
    <t>Heavy fuel oil</t>
  </si>
  <si>
    <t>*LPG</t>
  </si>
  <si>
    <t>LPG</t>
  </si>
  <si>
    <t>*COA</t>
  </si>
  <si>
    <t>*SMF</t>
  </si>
  <si>
    <t>Solid multi-fuel</t>
  </si>
  <si>
    <t>*PEA</t>
  </si>
  <si>
    <t>*WOO</t>
  </si>
  <si>
    <t>Wood</t>
  </si>
  <si>
    <t>*FPL</t>
  </si>
  <si>
    <t>*SOL</t>
  </si>
  <si>
    <t>*HET*</t>
  </si>
  <si>
    <t>*AHT*</t>
  </si>
  <si>
    <t>Ambient heat</t>
  </si>
  <si>
    <t>*BDL</t>
  </si>
  <si>
    <t>Biodiesel</t>
  </si>
  <si>
    <t>*BGS</t>
  </si>
  <si>
    <t>Biogas</t>
  </si>
  <si>
    <t>*ETH</t>
  </si>
  <si>
    <t>Bioethanol</t>
  </si>
  <si>
    <t>*HVO</t>
  </si>
  <si>
    <t>*H2*</t>
  </si>
  <si>
    <t>FUEL_SEAI</t>
  </si>
  <si>
    <t>*COA,*SMF</t>
  </si>
  <si>
    <t>*KER,*DST,*GSL,*HFO,*LPG,*OIL*</t>
  </si>
  <si>
    <t>*NGA,*GAS,*LNG</t>
  </si>
  <si>
    <t>Heat</t>
  </si>
  <si>
    <t>*WOO,*FPL,*BDL,*BGS,*ETH,*HVO,BIO*</t>
  </si>
  <si>
    <t>Bioenergy</t>
  </si>
  <si>
    <t>*SOL,*AHT*</t>
  </si>
  <si>
    <t>Other renewables</t>
  </si>
  <si>
    <t>COMMTYPE</t>
  </si>
  <si>
    <t>Energy carrier</t>
  </si>
  <si>
    <t>Demand</t>
  </si>
  <si>
    <t>Emission</t>
  </si>
  <si>
    <t>ENV</t>
  </si>
  <si>
    <t>RSDSH*,RSDWH*,RSDSC*,RSDLT*,RSDPF*,RSDCK,RSDRF,RSDOE,RSDCD,RSDCW,RSDDW</t>
  </si>
  <si>
    <t>Residential energy service</t>
  </si>
  <si>
    <t>RSD_Apt,RSD_Att,RSD_Det</t>
  </si>
  <si>
    <t>fuel: same dimension name as the existing commodity map sheet, so the two</t>
  </si>
  <si>
    <t xml:space="preserve">  tables merge into one column. The existing rows are explicit TRA* names;</t>
  </si>
  <si>
    <t xml:space="preserve">  these are sector-agnostic patterns and cover the rest of the model.</t>
  </si>
  <si>
    <t>FUEL_SEAI: replaces the five duplicated _SEAI result views. It also fixes two</t>
  </si>
  <si>
    <t xml:space="preserve">  gaps in the SEAI_* csets in Sets-Comm: RSDWOO (1.1 PJ in 2020) and RSDSOL</t>
  </si>
  <si>
    <t xml:space="preserve">  (0.35 PJ) match none of SEAI_BIOENERGY (BIO*) or SEAI_OTHER_RENEWABLES</t>
  </si>
  <si>
    <t xml:space="preserve">  (*REN*). Note also that AGR_NRG-BIO-PRIME_SEAI references SEAI_RENEWABLES,</t>
  </si>
  <si>
    <t xml:space="preserve">  which is not defined in Sets-Comm.</t>
  </si>
  <si>
    <t>COMMTYPE: the residential service commodities are declared NRG in TIM, so the</t>
  </si>
  <si>
    <t xml:space="preserve">  broad NRG row is listed first and the explicit service list overrides it.</t>
  </si>
  <si>
    <t xml:space="preserve">  RSD_Apt/Att/Det are DEM and are counts of dwellings, not PJ -- keep them out</t>
  </si>
  <si>
    <t xml:space="preserve">  of any energy chart or Sankey.</t>
  </si>
  <si>
    <t>~varbl_map</t>
  </si>
  <si>
    <t>attribute</t>
  </si>
  <si>
    <t>Final energy</t>
  </si>
  <si>
    <t>Energy services</t>
  </si>
  <si>
    <t>Elec_Prod,Power</t>
  </si>
  <si>
    <t>Electricity production</t>
  </si>
  <si>
    <t>Elec_Cap,Elec_NewCap</t>
  </si>
  <si>
    <t>Capacity</t>
  </si>
  <si>
    <t>Elec_CO2_Emi,Elec_CO2_Cap,CO2_emissions</t>
  </si>
  <si>
    <t>Emissions</t>
  </si>
  <si>
    <t>Costs</t>
  </si>
  <si>
    <t>Prices</t>
  </si>
  <si>
    <t>DummyImp,UC_shadowprice</t>
  </si>
  <si>
    <t>Checks</t>
  </si>
  <si>
    <t>Provisional: these are the 16 variables currently on the TS_Defs sheet. The</t>
  </si>
  <si>
    <t>attribute dimension is what reproduces the report chapter / tab structure of</t>
  </si>
  <si>
    <t>the TIM results website. Revisit once TS_Defs is rebuilt to cover all sectors.</t>
  </si>
  <si>
    <t>CostType and Emi/Cap are deliberately omitted: TIM variable names are not yet</t>
  </si>
  <si>
    <t>suited to them (a *_Cap pattern would catch Elec_Cap, which is capacity).</t>
  </si>
  <si>
    <t>Notes (columns E and F are blank, so Veda stops parsing at D)</t>
  </si>
  <si>
    <t>Notes (columns D and E are blank, so Veda stops parsing at C)</t>
  </si>
  <si>
    <t>~TS_Defs: snk_attr=Residential detail</t>
  </si>
  <si>
    <t>R-*</t>
  </si>
  <si>
    <t>RSDELC,RSDGAS,RSDKER,RSDLPG,RSDCOA,RSDPEA,RSDWOO,RSDSOL,RSDHET,RSDBDL,RSDBGS,RSDAHT,RSDAHT2</t>
  </si>
  <si>
    <t>&lt;gen_cname&gt;_snk_Heat pump</t>
  </si>
  <si>
    <t>fuel and ambient heat into heat pump</t>
  </si>
  <si>
    <t>RSDSH*,RSDWH*,RSDSC*,RSDLT*,RSDPF*,RSDCK,RSDRF,RSDCD,RSDCW,RSDDW,RSDOE</t>
  </si>
  <si>
    <t>&lt;gen_cname&gt;_src_Heat pump</t>
  </si>
  <si>
    <t>energy service delivered by heat pump</t>
  </si>
  <si>
    <t>&lt;gen_cname&gt;_snk_Electric resistance</t>
  </si>
  <si>
    <t>fuel and ambient heat into electric resistance</t>
  </si>
  <si>
    <t>&lt;gen_cname&gt;_src_Electric resistance</t>
  </si>
  <si>
    <t>energy service delivered by electric resistance</t>
  </si>
  <si>
    <t>R-SH*GAS*,R-WH*GAS*</t>
  </si>
  <si>
    <t>&lt;gen_cname&gt;_snk_Gas boiler</t>
  </si>
  <si>
    <t>fuel and ambient heat into gas boiler</t>
  </si>
  <si>
    <t>&lt;gen_cname&gt;_src_Gas boiler</t>
  </si>
  <si>
    <t>energy service delivered by gas boiler</t>
  </si>
  <si>
    <t>R-SH*KER*,R-WH*KER*</t>
  </si>
  <si>
    <t>&lt;gen_cname&gt;_snk_Oil boiler</t>
  </si>
  <si>
    <t>fuel and ambient heat into oil boiler</t>
  </si>
  <si>
    <t>&lt;gen_cname&gt;_src_Oil boiler</t>
  </si>
  <si>
    <t>energy service delivered by oil boiler</t>
  </si>
  <si>
    <t>R-SH*LPG*,R-WH*LPG*</t>
  </si>
  <si>
    <t>&lt;gen_cname&gt;_snk_LPG boiler</t>
  </si>
  <si>
    <t>fuel and ambient heat into lpg boiler</t>
  </si>
  <si>
    <t>&lt;gen_cname&gt;_src_LPG boiler</t>
  </si>
  <si>
    <t>energy service delivered by lpg boiler</t>
  </si>
  <si>
    <t>R-SH*COA*,R-SH*PEA*,R-SH*SMF*,R-SH*WOO*,R-SH*FPL*,R-WH*COA*,R-WH*PEA*,R-WH*SMF*,R-WH*WOO*</t>
  </si>
  <si>
    <t>&lt;gen_cname&gt;_snk_Solid fuel</t>
  </si>
  <si>
    <t>fuel and ambient heat into solid fuel</t>
  </si>
  <si>
    <t>&lt;gen_cname&gt;_src_Solid fuel</t>
  </si>
  <si>
    <t>energy service delivered by solid fuel</t>
  </si>
  <si>
    <t>&lt;gen_cname&gt;_snk_Combi boiler</t>
  </si>
  <si>
    <t>fuel and ambient heat into combi boiler</t>
  </si>
  <si>
    <t>&lt;gen_cname&gt;_src_Combi boiler</t>
  </si>
  <si>
    <t>energy service delivered by combi boiler</t>
  </si>
  <si>
    <t>&lt;gen_cname&gt;_snk_Appliances</t>
  </si>
  <si>
    <t>fuel and ambient heat into appliances</t>
  </si>
  <si>
    <t>&lt;gen_cname&gt;_src_Appliances</t>
  </si>
  <si>
    <t>energy service delivered by appliances</t>
  </si>
  <si>
    <t>R-BLD*Apt*</t>
  </si>
  <si>
    <t>RSDSH*,RSDWH*,RSDSC*,RSDLT*,RSDPF*</t>
  </si>
  <si>
    <t>&lt;gen_cname&gt;_snk_Apartment</t>
  </si>
  <si>
    <t>service consumed by apartment dwellings</t>
  </si>
  <si>
    <t>R-BLD*Att*</t>
  </si>
  <si>
    <t>&lt;gen_cname&gt;_snk_Attached</t>
  </si>
  <si>
    <t>service consumed by attached dwellings</t>
  </si>
  <si>
    <t>R-BLD*Det*</t>
  </si>
  <si>
    <t>&lt;gen_cname&gt;_snk_Detached</t>
  </si>
  <si>
    <t>service consumed by detached dwellings</t>
  </si>
  <si>
    <t>RSDELC</t>
  </si>
  <si>
    <t>RSDGAS</t>
  </si>
  <si>
    <t>RSDKER</t>
  </si>
  <si>
    <t>RSDLPG</t>
  </si>
  <si>
    <t>RSDCOA</t>
  </si>
  <si>
    <t>RSDPEA</t>
  </si>
  <si>
    <t>RSDWOO</t>
  </si>
  <si>
    <t>RSDSOL</t>
  </si>
  <si>
    <t>RSDHET</t>
  </si>
  <si>
    <t>RSDBDL</t>
  </si>
  <si>
    <t>RSDBGS</t>
  </si>
  <si>
    <t>RSDAHT</t>
  </si>
  <si>
    <t>RSDAHT2</t>
  </si>
  <si>
    <t>RSDSH_Apt-AB</t>
  </si>
  <si>
    <t>RSDSH_Apt-C</t>
  </si>
  <si>
    <t>RSDSH_Apt-D</t>
  </si>
  <si>
    <t>RSDSH_Apt-E</t>
  </si>
  <si>
    <t>RSDSH_Apt-F</t>
  </si>
  <si>
    <t>RSDSH_Apt-G</t>
  </si>
  <si>
    <t>RSDSH_Att-AB</t>
  </si>
  <si>
    <t>RSDSH_Att-C</t>
  </si>
  <si>
    <t>RSDSH_Att-D</t>
  </si>
  <si>
    <t>RSDSH_Att-E</t>
  </si>
  <si>
    <t>RSDSH_Att-F</t>
  </si>
  <si>
    <t>RSDSH_Att-G</t>
  </si>
  <si>
    <t>RSDSH_Det-AB</t>
  </si>
  <si>
    <t>RSDSH_Det-C</t>
  </si>
  <si>
    <t>RSDSH_Det-D</t>
  </si>
  <si>
    <t>RSDSH_Det-E</t>
  </si>
  <si>
    <t>RSDSH_Det-F</t>
  </si>
  <si>
    <t>RSDSH_Det-G</t>
  </si>
  <si>
    <t>RSDWH_Apt</t>
  </si>
  <si>
    <t>RSDSC_Apt</t>
  </si>
  <si>
    <t>RSDLT_Apt</t>
  </si>
  <si>
    <t>RSDPF_Apt</t>
  </si>
  <si>
    <t>RSDWH_Att</t>
  </si>
  <si>
    <t>RSDSC_Att</t>
  </si>
  <si>
    <t>RSDLT_Att</t>
  </si>
  <si>
    <t>RSDPF_Att</t>
  </si>
  <si>
    <t>RSDWH_Det</t>
  </si>
  <si>
    <t>RSDSC_Det</t>
  </si>
  <si>
    <t>RSDLT_Det</t>
  </si>
  <si>
    <t>RSDPF_Det</t>
  </si>
  <si>
    <t>RSDCK</t>
  </si>
  <si>
    <t>Cooking (all dwellings)</t>
  </si>
  <si>
    <t>RSDRF</t>
  </si>
  <si>
    <t>Refrigeration (all dwellings)</t>
  </si>
  <si>
    <t>RSDCD</t>
  </si>
  <si>
    <t>Cloth drying (all dwellings)</t>
  </si>
  <si>
    <t>RSDCW</t>
  </si>
  <si>
    <t>Cloth washing (all dwellings)</t>
  </si>
  <si>
    <t>RSDDW</t>
  </si>
  <si>
    <t>Dish washing (all dwellings)</t>
  </si>
  <si>
    <t>RSDOE</t>
  </si>
  <si>
    <t>Other electric (all dwellings)</t>
  </si>
  <si>
    <t>Aggregated residential Sankey: fuel -&gt; technology -&gt; energy service -&gt; dwelling type.</t>
  </si>
  <si>
    <t>How the aggregation works</t>
  </si>
  <si>
    <t xml:space="preserve">  show_me is left empty so the process and commodity dimensions collapse. Node</t>
  </si>
  <si>
    <t xml:space="preserve">  identity comes entirely from the Name string, so arcs whose Name matches are</t>
  </si>
  <si>
    <t xml:space="preserve">  summed. Technology labels are hard-coded in Name (one row pair per group);</t>
  </si>
  <si>
    <t xml:space="preserve">  fuel and service labels come from &lt;gen_cname&gt;, which resolves through the</t>
  </si>
  <si>
    <t xml:space="preserve">  ~CName_Map table to the right.</t>
  </si>
  <si>
    <t>Why the technology groups look the way they do</t>
  </si>
  <si>
    <t xml:space="preserve">  The groups must be mutually exclusive -- unlike a _Map dimension, two Sankey</t>
  </si>
  <si>
    <t xml:space="preserve">  rows matching the same process double-count. Checked against the 174 RSD</t>
  </si>
  <si>
    <t xml:space="preserve">  processes in the model: 11 disjoint groups, all 131 devices assigned, no</t>
  </si>
  <si>
    <t xml:space="preserve">  overlaps. FT-RSD*, R-BLD*, R-RTFT* and IMPDEMZ are out of scope by design.</t>
  </si>
  <si>
    <t>Deliberate omissions</t>
  </si>
  <si>
    <t xml:space="preserve">  Dwelling stock (RSD_Apt/Att/Det) is NOT in the diagram. Those are counts of</t>
  </si>
  <si>
    <t xml:space="preserve">  dwellings, not PJ, so the chain stops at the dwelling-type layer.</t>
  </si>
  <si>
    <t xml:space="preserve">  Appliance services (RSDCK, RSDRF, RSDCD, RSDCW, RSDDW, RSDOE) have no</t>
  </si>
  <si>
    <t xml:space="preserve">  consuming process in the model, so they terminate at the service layer. They</t>
  </si>
  <si>
    <t xml:space="preserve">  are labelled "(all dwellings)" rather than being split by an invented share.</t>
  </si>
  <si>
    <t xml:space="preserve">  Combi boilers (R-SW*) produce space AND water heat from one fuel input, so</t>
  </si>
  <si>
    <t xml:space="preserve">  they are their own technology node -- the input cannot be split by service.</t>
  </si>
  <si>
    <t xml:space="preserve">  Retrofits (R-RTFT*) are omitted; they carry no flow in the bau run.</t>
  </si>
  <si>
    <t>Units follow the busy Sankey on the Sankey sheet: PJ for VAR_FOUT, Pjneg for</t>
  </si>
  <si>
    <t>VAR_FIN (UnitConv maps Pjneg to PJ with factor -1).</t>
  </si>
  <si>
    <t>R-WH*ELC_N1</t>
  </si>
  <si>
    <t>R-SH*ELC*,R-WH*ELC*,-*_ELC_X1,-*HPN*,-*ELC_N1</t>
  </si>
  <si>
    <t>R-SC*</t>
  </si>
  <si>
    <t>&lt;gen_cname&gt;_snk_Air conditioner</t>
  </si>
  <si>
    <t>fuel and ambient heat into air conditioner</t>
  </si>
  <si>
    <t>&lt;gen_cname&gt;_src_Air conditioner</t>
  </si>
  <si>
    <t>energy service delivered by air conditioner</t>
  </si>
  <si>
    <t>&lt;gen_cname&gt;_snk_Solar water heater</t>
  </si>
  <si>
    <t>fuel and ambient heat into solar water heater</t>
  </si>
  <si>
    <t>&lt;gen_cname&gt;_src_Solar water heater</t>
  </si>
  <si>
    <t>energy service delivered by solar water heater</t>
  </si>
  <si>
    <t>&lt;gen_cname&gt;_snk_Lamps and fittings</t>
  </si>
  <si>
    <t>fuel and ambient heat into lamps and fittings</t>
  </si>
  <si>
    <t>&lt;gen_cname&gt;_src_Lamps and fittings</t>
  </si>
  <si>
    <t>energy service delivered by lamps and fittings</t>
  </si>
  <si>
    <t>&lt;gen_cname&gt;_snk_Circulation pumps and fans</t>
  </si>
  <si>
    <t>fuel and ambient heat into circulation pumps and fans</t>
  </si>
  <si>
    <t>&lt;gen_cname&gt;_src_Circulation pumps and fans</t>
  </si>
  <si>
    <t>energy service delivered by circulation pumps and fans</t>
  </si>
  <si>
    <t>Heat pumps in TIM come in three separately-named families</t>
  </si>
  <si>
    <t xml:space="preserve">  1. R-SH_Det_ELC_HPN2-*   named *HPN*, consumes RSDAHT</t>
  </si>
  <si>
    <t xml:space="preserve">  2. R-SH_*_ELC_X1 and R-WH_*_ELC_X1   consume RSDAHT, NOT named *HPN*</t>
  </si>
  <si>
    <t xml:space="preserve">  3. R-WH_*_ELC_N1   neither named *HPN* nor consuming ambient heat, but</t>
  </si>
  <si>
    <t xml:space="preserve">     R-WH_Det_ELC_N1 turns 1.685 PJ of electricity into 3.644 PJ of hot water</t>
  </si>
  <si>
    <t xml:space="preserve">     in 2038 -- a ratio of 2.16, so it can only be a heat-pump water heater.</t>
  </si>
  <si>
    <t xml:space="preserve">  Families 1 and 2 are caught by PSET_CI=RSDAHT,RSDAHT2; family 3 needs its own</t>
  </si>
  <si>
    <t xml:space="preserve">  row. Family 3 is an inference from the input/output ratio and is worth</t>
  </si>
  <si>
    <t xml:space="preserve">  confirming with the TIM team.</t>
  </si>
  <si>
    <t xml:space="preserve">  Air conditioners (R-SC*) are split out as their own node: they run at a COP of</t>
  </si>
  <si>
    <t xml:space="preserve">  3.1 to 3.7 and would otherwise have inflated an "electric resistance" node.</t>
  </si>
  <si>
    <t xml:space="preserve">  After those splits, every remaining electric device has a ratio of exactly</t>
  </si>
  <si>
    <t xml:space="preserve">  1.000, which is the check that the resistance node is really resistance.</t>
  </si>
  <si>
    <t>tech_VINTAGE</t>
  </si>
  <si>
    <t>~TS_Defs: snk_attr=Services detail</t>
  </si>
  <si>
    <t>SRV_CS-HP,SRV_PU-HP</t>
  </si>
  <si>
    <t>SRVELC</t>
  </si>
  <si>
    <t>SRVELC,SRVELC-DC-C,SRVGAS,SRVOIL,SRVLPG,SRVCOA,SRVBIO,SRVBGS,SRVSOL,SRVHET,SRVAHT,SRVAHT2</t>
  </si>
  <si>
    <t>&lt;gen_cname&gt;_snk_Heat pump (electric)</t>
  </si>
  <si>
    <t>fuel into heat pump (electric)</t>
  </si>
  <si>
    <t>SRVGAS</t>
  </si>
  <si>
    <t>&lt;gen_cname&gt;_snk_Heat pump (gas absorption)</t>
  </si>
  <si>
    <t>fuel into heat pump (gas absorption)</t>
  </si>
  <si>
    <t>S-SH*GAS*,S-WH*GAS*,-*_N5</t>
  </si>
  <si>
    <t>fuel into gas boiler</t>
  </si>
  <si>
    <t>S-SH*OIL*,S-WH*OIL*</t>
  </si>
  <si>
    <t>fuel into oil boiler</t>
  </si>
  <si>
    <t>S-SH*LPG*,S-WH*LPG*</t>
  </si>
  <si>
    <t>fuel into lpg boiler</t>
  </si>
  <si>
    <t>S-SH*COA*</t>
  </si>
  <si>
    <t>&lt;gen_cname&gt;_snk_Coal boiler</t>
  </si>
  <si>
    <t>fuel into coal boiler</t>
  </si>
  <si>
    <t>S-SH*BIO*</t>
  </si>
  <si>
    <t>&lt;gen_cname&gt;_snk_Biomass boiler</t>
  </si>
  <si>
    <t>fuel into biomass boiler</t>
  </si>
  <si>
    <t>S-SH*HET*</t>
  </si>
  <si>
    <t>&lt;gen_cname&gt;_snk_District heat substation</t>
  </si>
  <si>
    <t>fuel into district heat substation</t>
  </si>
  <si>
    <t>S-WH*ELC*</t>
  </si>
  <si>
    <t>&lt;gen_cname&gt;_snk_Electric water heater</t>
  </si>
  <si>
    <t>fuel into electric water heater</t>
  </si>
  <si>
    <t>S-WH*SOL*</t>
  </si>
  <si>
    <t>fuel into solar water heater</t>
  </si>
  <si>
    <t>S-SC*,S-SH*ELC_N3</t>
  </si>
  <si>
    <t>&lt;gen_cname&gt;_snk_Air conditioning</t>
  </si>
  <si>
    <t>fuel into air conditioning</t>
  </si>
  <si>
    <t>S-CK*ELC*</t>
  </si>
  <si>
    <t>&lt;gen_cname&gt;_snk_Electric cooker</t>
  </si>
  <si>
    <t>fuel into electric cooker</t>
  </si>
  <si>
    <t>S-CK*GAS*</t>
  </si>
  <si>
    <t>&lt;gen_cname&gt;_snk_Gas cooker</t>
  </si>
  <si>
    <t>fuel into gas cooker</t>
  </si>
  <si>
    <t>S-CK*LPG*</t>
  </si>
  <si>
    <t>&lt;gen_cname&gt;_snk_LPG cooker</t>
  </si>
  <si>
    <t>fuel into lpg cooker</t>
  </si>
  <si>
    <t>SRV-CS_NRGSRV-LIG,SRV-PU_NRGSRV-LIG,SRV-CS_NRGSRV-REF,SRV-PU_NRGSRV-REF,SRV-CS_NRGSRV-OEL,SRV-PU_NRGSRV-OEL,DMD_SRV-PU_PLIG,DMD_SRV-CS_DC</t>
  </si>
  <si>
    <t>electricity into &lt;pset&gt;</t>
  </si>
  <si>
    <t>SRVSH-CS,SRVSH-PU,SRVWH-CS,SRVWH-PU,SRVSC-CS,SRVSC-PU,SRVCK-CS,SRVCK-PU</t>
  </si>
  <si>
    <t>&lt;gen_cname&gt;_src_Heat pump (electric)</t>
  </si>
  <si>
    <t>energy service delivered by heat pump (electric)</t>
  </si>
  <si>
    <t>&lt;gen_cname&gt;_src_Heat pump (gas absorption)</t>
  </si>
  <si>
    <t>energy service delivered by heat pump (gas absorption)</t>
  </si>
  <si>
    <t>&lt;gen_cname&gt;_src_Coal boiler</t>
  </si>
  <si>
    <t>energy service delivered by coal boiler</t>
  </si>
  <si>
    <t>&lt;gen_cname&gt;_src_Biomass boiler</t>
  </si>
  <si>
    <t>energy service delivered by biomass boiler</t>
  </si>
  <si>
    <t>&lt;gen_cname&gt;_src_District heat substation</t>
  </si>
  <si>
    <t>energy service delivered by district heat substation</t>
  </si>
  <si>
    <t>&lt;gen_cname&gt;_src_Electric water heater</t>
  </si>
  <si>
    <t>energy service delivered by electric water heater</t>
  </si>
  <si>
    <t>&lt;gen_cname&gt;_src_Air conditioning</t>
  </si>
  <si>
    <t>energy service delivered by air conditioning</t>
  </si>
  <si>
    <t>&lt;gen_cname&gt;_src_Electric cooker</t>
  </si>
  <si>
    <t>energy service delivered by electric cooker</t>
  </si>
  <si>
    <t>&lt;gen_cname&gt;_src_Gas cooker</t>
  </si>
  <si>
    <t>energy service delivered by gas cooker</t>
  </si>
  <si>
    <t>&lt;gen_cname&gt;_src_LPG cooker</t>
  </si>
  <si>
    <t>energy service delivered by lpg cooker</t>
  </si>
  <si>
    <t>S-BLD_CS</t>
  </si>
  <si>
    <t>&lt;gen_cname&gt;_snk_Commercial</t>
  </si>
  <si>
    <t>energy service consumed by commercial services</t>
  </si>
  <si>
    <t>S-BLD_PU</t>
  </si>
  <si>
    <t>&lt;gen_cname&gt;_snk_Public</t>
  </si>
  <si>
    <t>energy service consumed by public services</t>
  </si>
  <si>
    <t>SRV-CS_NRGSRV-LIG</t>
  </si>
  <si>
    <t>Lighting_snk_Commercial</t>
  </si>
  <si>
    <t>lighting electricity in commercial services</t>
  </si>
  <si>
    <t>SRV-PU_NRGSRV-LIG</t>
  </si>
  <si>
    <t>Lighting_snk_Public</t>
  </si>
  <si>
    <t>lighting electricity in public services</t>
  </si>
  <si>
    <t>SRV-CS_NRGSRV-REF</t>
  </si>
  <si>
    <t>Refrigeration_snk_Commercial</t>
  </si>
  <si>
    <t>refrigeration electricity in commercial services</t>
  </si>
  <si>
    <t>SRV-PU_NRGSRV-REF</t>
  </si>
  <si>
    <t>Refrigeration_snk_Public</t>
  </si>
  <si>
    <t>refrigeration electricity in public services</t>
  </si>
  <si>
    <t>SRV-CS_NRGSRV-OEL</t>
  </si>
  <si>
    <t>Other electric appliances_snk_Commercial</t>
  </si>
  <si>
    <t>other electric appliances electricity in commercial services</t>
  </si>
  <si>
    <t>SRV-PU_NRGSRV-OEL</t>
  </si>
  <si>
    <t>Other electric appliances_snk_Public</t>
  </si>
  <si>
    <t>other electric appliances electricity in public services</t>
  </si>
  <si>
    <t>Public lighting_snk_Public</t>
  </si>
  <si>
    <t>public lighting electricity in public services</t>
  </si>
  <si>
    <t>SRVHET-DC-LT</t>
  </si>
  <si>
    <t>&lt;gen_cname&gt;_src_Data centres</t>
  </si>
  <si>
    <t>low-grade waste heat leaving the data centres</t>
  </si>
  <si>
    <t>SRV_CS-DC-EH-HP</t>
  </si>
  <si>
    <t>SRVELC,SRVHET-LT</t>
  </si>
  <si>
    <t>&lt;gen_cname&gt;_snk_Heat pump (DC heat recovery)</t>
  </si>
  <si>
    <t>waste heat and electricity into the recovery heat pump</t>
  </si>
  <si>
    <t>HETC</t>
  </si>
  <si>
    <t>District heat network_src_Heat pump (DC heat recovery)</t>
  </si>
  <si>
    <t>recovered heat delivered to the district heat network</t>
  </si>
  <si>
    <t>SRVELC-DC-C</t>
  </si>
  <si>
    <t>SRVOIL</t>
  </si>
  <si>
    <t>SRVLPG</t>
  </si>
  <si>
    <t>SRVCOA</t>
  </si>
  <si>
    <t>SRVBIO</t>
  </si>
  <si>
    <t>SRVBGS</t>
  </si>
  <si>
    <t>SRVSOL</t>
  </si>
  <si>
    <t>SRVHET</t>
  </si>
  <si>
    <t>SRVAHT</t>
  </si>
  <si>
    <t>SRVAHT2</t>
  </si>
  <si>
    <t>SRVSH-CS</t>
  </si>
  <si>
    <t>SRVSH-PU</t>
  </si>
  <si>
    <t>SRVWH-CS</t>
  </si>
  <si>
    <t>SRVWH-PU</t>
  </si>
  <si>
    <t>SRVSC-CS</t>
  </si>
  <si>
    <t>SRVSC-PU</t>
  </si>
  <si>
    <t>SRVCK-CS</t>
  </si>
  <si>
    <t>SRVCK-PU</t>
  </si>
  <si>
    <t>Recovered heat (data centres)</t>
  </si>
  <si>
    <t>SRVHET-LT</t>
  </si>
  <si>
    <t>Aggregated services Sankey: fuel -&gt; technology -&gt; energy service -&gt; segment.</t>
  </si>
  <si>
    <t>Reads like Sankey RSD, but services forced three departures from it. Each one</t>
  </si>
  <si>
    <t>comes from the data, not from taste.</t>
  </si>
  <si>
    <t>1. Four of the nine services are not measured in PJ</t>
  </si>
  <si>
    <t xml:space="preserve">   Dividing each device group output by its fuel input gives the ratio the</t>
  </si>
  <si>
    <t xml:space="preserve">   service commodity is carried at:</t>
  </si>
  <si>
    <t xml:space="preserve">     space heating   0.33 - 2.10   plausible boiler and heat-pump efficiencies</t>
  </si>
  <si>
    <t xml:space="preserve">     water heating   0.60 - 1.00</t>
  </si>
  <si>
    <t xml:space="preserve">     space cooling   2.75          a COP</t>
  </si>
  <si>
    <t xml:space="preserve">     cooking         0.58 - 0.74</t>
  </si>
  <si>
    <t xml:space="preserve">     other electric  1.00 exactly</t>
  </si>
  <si>
    <t xml:space="preserve">     lighting        2.6 - 6.1, and it rises over time</t>
  </si>
  <si>
    <t xml:space="preserve">     public lighting 1.3 - 2.1, and it rises over time</t>
  </si>
  <si>
    <t xml:space="preserve">     refrigeration   33.5 commercial, 58.0 public</t>
  </si>
  <si>
    <t xml:space="preserve">   The first five are energy. The last three are demand units, and a 34-58x</t>
  </si>
  <si>
    <t xml:space="preserve">   refrigeration commodity would swamp the whole diagram: S-REF-CS_ELC_N1</t>
  </si>
  <si>
    <t xml:space="preserve">   reports 147 PJ of SRVREF-CS in 2038 out of 4.4 PJ of electricity, against</t>
  </si>
  <si>
    <t xml:space="preserve">   a services total of 145 PJ. Refrigeration, lighting and public lighting</t>
  </si>
  <si>
    <t xml:space="preserve">   therefore get no service-layer node. Their device group is labelled with</t>
  </si>
  <si>
    <t xml:space="preserve">   the service name instead, so the node sits in the service column and the</t>
  </si>
  <si>
    <t xml:space="preserve">   width shown is the electricity drawn -- the number worth reading.</t>
  </si>
  <si>
    <t xml:space="preserve">   Same call as the residential appliance lanes and the dwelling stock.</t>
  </si>
  <si>
    <t>2. The segment split comes from the commodity, not the process name</t>
  </si>
  <si>
    <t xml:space="preserve">   S-CK-CS_ELC_N1, S-CK-CS_GAS_N1 and S-CK-CS_LPG_N1 are CS-named but each</t>
  </si>
  <si>
    <t xml:space="preserve">   produces both SRVCK-CS and SRVCK-PU, so SRV-CS_NRGSRV-CK and</t>
  </si>
  <si>
    <t xml:space="preserve">   SRV-PU_NRGSRV-CK resolve to the same three processes. Splitting cooking</t>
  </si>
  <si>
    <t xml:space="preserve">   fuel by segment on the process side would double-count it exactly. Arc 3</t>
  </si>
  <si>
    <t xml:space="preserve">   is taken from VAR_FIN on S-BLD_CS and S-BLD_PU, where the commodity name</t>
  </si>
  <si>
    <t xml:space="preserve">   carries the segment unambiguously. In 2020 cooking runs 70 / 30 commercial</t>
  </si>
  <si>
    <t xml:space="preserve">   to public -- a split no process filter could have recovered.</t>
  </si>
  <si>
    <t xml:space="preserve">   The electricity-only services have no such ambiguity, so they split on the</t>
  </si>
  <si>
    <t xml:space="preserve">   device side using the CS and PU psets separately.</t>
  </si>
  <si>
    <t>3. Data centres get their own lane, because they are a third of the sector</t>
  </si>
  <si>
    <t xml:space="preserve">   S-DCE-CS draws 43.7 PJ of SRVELC plus 3.6 PJ of SRVELC-DC-C for cooling in</t>
  </si>
  <si>
    <t xml:space="preserve">   2038 -- 47.3 of the 144.7 PJ services total -- and rejects 28.1 PJ as</t>
  </si>
  <si>
    <t xml:space="preserve">   SRVHET-DC-LT. Only 10.9 PJ of that is picked up by S-DCE-CS-HP_N1, which</t>
  </si>
  <si>
    <t xml:space="preserve">   adds 2.8 PJ of electricity to deliver 13.7 PJ into HETC. The 17.2 PJ left</t>
  </si>
  <si>
    <t xml:space="preserve">   over shows as a gap at the recovered-heat node, which is the point: the</t>
  </si>
  <si>
    <t xml:space="preserve">   diagram should show the heat going to waste. In 2020 the recovery chain</t>
  </si>
  <si>
    <t xml:space="preserve">   does not exist yet and all 6.5 PJ is wasted.</t>
  </si>
  <si>
    <t xml:space="preserve">   SRVHET-DC-LT and SRVHET-LT both map to one node, folding the heat</t>
  </si>
  <si>
    <t xml:space="preserve">   exchanger S-DCE-CS-HE_N1 into it. SRVDCE-CS, the compute demand, is left</t>
  </si>
  <si>
    <t xml:space="preserve">   out for the unit reason above, so the data-centre node shows 47.3 PJ in</t>
  </si>
  <si>
    <t xml:space="preserve">   and 28.1 PJ out.</t>
  </si>
  <si>
    <t xml:space="preserve">   Data centres have no arc into Commercial. That is deliberate and follows</t>
  </si>
  <si>
    <t xml:space="preserve">   TIM: DMD_SRV-CS_M2 is named "Commercial Services - All Except Data</t>
  </si>
  <si>
    <t xml:space="preserve">   Centres", so the model itself keeps them outside the floor-area segment.</t>
  </si>
  <si>
    <t xml:space="preserve">   Commercial and Public therefore total 80.0 of the 144.7 PJ in 2038.</t>
  </si>
  <si>
    <t>Less hard-coding than Sankey RSD</t>
  </si>
  <si>
    <t xml:space="preserve">   The eight groups TIM already has psets for are done in ONE row. PSET_Set</t>
  </si>
  <si>
    <t xml:space="preserve">   is split one pset per arc and &lt;pset&gt; is replaced by the Pset_Map Desc, so</t>
  </si>
  <si>
    <t xml:space="preserve">   mapping SRV-CS_NRGSRV-LIG and SRV-PU_NRGSRV-LIG both to "Lighting"</t>
  </si>
  <si>
    <t xml:space="preserve">   collapses them onto a single node. This is the transport idiom on the</t>
  </si>
  <si>
    <t xml:space="preserve">   Sankey sheet, used here to merge rather than to separate.</t>
  </si>
  <si>
    <t xml:space="preserve">   Two gotchas worth knowing: &lt;pset&gt; is substituted only where a Pset_Map</t>
  </si>
  <si>
    <t xml:space="preserve">   entry exists -- with no entry the literal text &lt;pset&gt; is left in the node</t>
  </si>
  <si>
    <t xml:space="preserve">   name and nothing warns you -- and Pset_Map is consolidated across the</t>
  </si>
  <si>
    <t xml:space="preserve">   whole workbook, so a pset gets one label everywhere. That is why the</t>
  </si>
  <si>
    <t xml:space="preserve">   segment split below uses explicit names instead of a second map.</t>
  </si>
  <si>
    <t xml:space="preserve">   The boiler families still use PSET_PN. SetRules has no technology psets</t>
  </si>
  <si>
    <t xml:space="preserve">   for services, and PSET_CI cannot stand in for them: S-SH-CS-GAS_N4</t>
  </si>
  <si>
    <t xml:space="preserve">   consumes SRVGAS and SRVBIO, S-SH-CS_ELC_N6 consumes SRVELC, SRVSOL,</t>
  </si>
  <si>
    <t xml:space="preserve">   SRVAHT and SRVAHT2, and the gas heat pump consumes SRVGAS, so a fuel-based</t>
  </si>
  <si>
    <t xml:space="preserve">   filter overlaps three ways. Adding ten technology psets to SRV_Sets-Proc</t>
  </si>
  <si>
    <t xml:space="preserve">   would let this whole sheet collapse to about six rows.</t>
  </si>
  <si>
    <t>Naming gotchas found in the process list</t>
  </si>
  <si>
    <t xml:space="preserve">   S-SH-CS-GAS_N4 uses a hyphen where every sibling uses an underscore, so</t>
  </si>
  <si>
    <t xml:space="preserve">   the gas pattern is S-SH*GAS* rather than S-SH*_GAS*.</t>
  </si>
  <si>
    <t xml:space="preserve">   S-SH-CS_ELC_N3 and S-SH-PU_ELC_N3 are named for space heating but produce</t>
  </si>
  <si>
    <t xml:space="preserve">   SRVSC only, at a COP of 2.75, so they are grouped as air conditioning.</t>
  </si>
  <si>
    <t xml:space="preserve">   S-SH-CS_GAS_N5 and S-SH-PU_GAS_N5 burn gas AND lift ambient heat. Left in</t>
  </si>
  <si>
    <t xml:space="preserve">   with the boilers they would read as 104% efficient, so they are their own</t>
  </si>
  <si>
    <t xml:space="preserve">   node. Even so the node sits at 1.035 in 2020 (10.685 PJ out of 9.723 gas</t>
  </si>
  <si>
    <t xml:space="preserve">   plus 0.599 ambient) and 0.995 in 2038 -- the 2020 excess looks like a</t>
  </si>
  <si>
    <t xml:space="preserve">   model artefact and is worth a look.</t>
  </si>
  <si>
    <t xml:space="preserve">   DMD_SRV-CS_M2 and DMD_SRV-PU_M2 select on SRVM2-CS / SRVM2-PU, which no</t>
  </si>
  <si>
    <t xml:space="preserve">   process produces in this run; S-BLD_CS and S-BLD_PU output SRV-CS and</t>
  </si>
  <si>
    <t xml:space="preserve">   SRV-PU. Those two psets appear stale, so arc 3 names the processes.</t>
  </si>
  <si>
    <t>Out of scope by design: FT-SRV* fuel feeders and IMPNRGZ.</t>
  </si>
  <si>
    <t>Units follow Sankey RSD: PJ for VAR_FOUT, Pjneg for VAR_FIN.</t>
  </si>
  <si>
    <t>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</si>
</sst>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o\n\th\ d\,\ yyyy"/>
    <numFmt numFmtId="165" formatCode="#.00"/>
    <numFmt numFmtId="166" formatCode="#."/>
    <numFmt numFmtId="167" formatCode="_-&quot;€&quot;\ * #,##0.00_-;\-&quot;€&quot;\ * #,##0.00_-;_-&quot;€&quot;\ * &quot;-&quot;??_-;_-@_-"/>
    <numFmt numFmtId="168" formatCode="_-* #,##0.00\ _€_-;\-* #,##0.00\ _€_-;_-* &quot;-&quot;??\ _€_-;_-@_-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name val="Gill Sans MT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7">
    <xf numFmtId="0" fontId="0" fillId="0" borderId="0"/>
    <xf numFmtId="164" fontId="6" fillId="0" borderId="0">
      <protection locked="0"/>
    </xf>
    <xf numFmtId="165" fontId="6" fillId="0" borderId="0">
      <protection locked="0"/>
    </xf>
    <xf numFmtId="0" fontId="15" fillId="2" borderId="0" applyNumberFormat="0" applyBorder="0" applyAlignment="0" applyProtection="0"/>
    <xf numFmtId="166" fontId="7" fillId="0" borderId="0">
      <protection locked="0"/>
    </xf>
    <xf numFmtId="166" fontId="7" fillId="0" borderId="0">
      <protection locked="0"/>
    </xf>
    <xf numFmtId="0" fontId="16" fillId="0" borderId="1" applyNumberFormat="0" applyFill="0" applyAlignment="0" applyProtection="0"/>
    <xf numFmtId="0" fontId="17" fillId="3" borderId="0" applyNumberFormat="0" applyBorder="0" applyAlignment="0" applyProtection="0"/>
    <xf numFmtId="0" fontId="2" fillId="0" borderId="0"/>
    <xf numFmtId="0" fontId="5" fillId="0" borderId="0"/>
    <xf numFmtId="0" fontId="14" fillId="0" borderId="0"/>
    <xf numFmtId="0" fontId="2" fillId="0" borderId="0"/>
    <xf numFmtId="0" fontId="12" fillId="0" borderId="0"/>
    <xf numFmtId="0" fontId="8" fillId="0" borderId="0"/>
    <xf numFmtId="0" fontId="2" fillId="0" borderId="0"/>
    <xf numFmtId="0" fontId="13" fillId="0" borderId="0"/>
    <xf numFmtId="0" fontId="11" fillId="0" borderId="0"/>
    <xf numFmtId="9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4" fillId="0" borderId="0" applyFont="0" applyFill="0" applyBorder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</cellStyleXfs>
  <cellXfs count="9">
    <xf numFmtId="0" fontId="0" fillId="0" borderId="0" xfId="0"/>
    <xf numFmtId="0" fontId="18" fillId="4" borderId="0" xfId="0" applyFont="1" applyFill="1"/>
    <xf numFmtId="0" fontId="0" fillId="0" borderId="0" xfId="0" quotePrefix="1"/>
    <xf numFmtId="0" fontId="17" fillId="3" borderId="0" xfId="7"/>
    <xf numFmtId="0" fontId="16" fillId="0" borderId="1" xfId="6"/>
    <xf numFmtId="0" fontId="15" fillId="2" borderId="0" xfId="3"/>
    <xf numFmtId="0" fontId="21" fillId="0" borderId="2" xfId="45"/>
    <xf numFmtId="0" fontId="22" fillId="0" borderId="3" xfId="46"/>
    <xf numFmtId="0" fontId="19" fillId="2" borderId="0" xfId="3" applyFont="1" applyAlignment="1">
      <alignment horizontal="left"/>
    </xf>
  </cellXfs>
  <cellStyles count="47">
    <cellStyle name="Date" xfId="1" xr:uid="{00000000-0005-0000-0000-000000000000}"/>
    <cellStyle name="Euro" xfId="19" xr:uid="{C43BBEDB-692F-44BD-BF9B-3326BD899053}"/>
    <cellStyle name="Fixed" xfId="2" xr:uid="{00000000-0005-0000-0000-000001000000}"/>
    <cellStyle name="Good" xfId="3" builtinId="26"/>
    <cellStyle name="Heading 2" xfId="45" builtinId="17"/>
    <cellStyle name="Heading 3" xfId="46" builtinId="18"/>
    <cellStyle name="Heading1" xfId="4" xr:uid="{00000000-0005-0000-0000-000003000000}"/>
    <cellStyle name="Heading2" xfId="5" xr:uid="{00000000-0005-0000-0000-000004000000}"/>
    <cellStyle name="Linked Cell" xfId="6" builtinId="24"/>
    <cellStyle name="Migliaia_Oil&amp;Gas IFE ARC POLITO" xfId="20" xr:uid="{A13CDEC3-C49F-48D3-9060-ED1A1B5DF394}"/>
    <cellStyle name="Neutral" xfId="7" builtinId="28"/>
    <cellStyle name="Normal" xfId="0" builtinId="0"/>
    <cellStyle name="Normal 10" xfId="8" xr:uid="{00000000-0005-0000-0000-000008000000}"/>
    <cellStyle name="Normal 11 2" xfId="21" xr:uid="{263805AA-709D-4C80-9B92-C46312663868}"/>
    <cellStyle name="Normal 11 3" xfId="22" xr:uid="{31CEAF7F-F71B-49CC-B29A-569E8F669DB2}"/>
    <cellStyle name="Normal 11 4" xfId="23" xr:uid="{E728B92C-E895-4C2E-83C9-DCE414E4F9C1}"/>
    <cellStyle name="Normal 12 2" xfId="24" xr:uid="{F503F7C8-5CC7-4B95-B420-2D25F01BAF3D}"/>
    <cellStyle name="Normal 12 3" xfId="25" xr:uid="{33114A06-A10C-41E8-899D-71475F875C58}"/>
    <cellStyle name="Normal 12 4" xfId="26" xr:uid="{4D3F6CB3-50C9-4889-9C33-4FCFDDE3643D}"/>
    <cellStyle name="Normal 13 2" xfId="27" xr:uid="{4F1A0C2B-3CF9-49AA-B050-80FBAA34CA4A}"/>
    <cellStyle name="Normal 13 3" xfId="28" xr:uid="{81AFA5AA-CA74-4CAC-AA80-C218890F0D40}"/>
    <cellStyle name="Normal 13 4" xfId="29" xr:uid="{68A32CB7-6E83-4077-9759-51B1B39FBBAE}"/>
    <cellStyle name="Normal 14 2" xfId="30" xr:uid="{D3384146-09AF-4E87-BFE0-A2CE09CD99C0}"/>
    <cellStyle name="Normal 14 3" xfId="31" xr:uid="{5A2D1B29-6BB2-43D2-830D-7153C5098CC2}"/>
    <cellStyle name="Normal 14 4" xfId="32" xr:uid="{81B9838A-80D8-47A5-A90C-D7097695ADAE}"/>
    <cellStyle name="Normal 15 2" xfId="33" xr:uid="{95CD95D8-95AC-4EDD-B52B-0237AC5EF75C}"/>
    <cellStyle name="Normal 15 3" xfId="34" xr:uid="{AB6BF958-540E-4993-AD29-1DB483E5463E}"/>
    <cellStyle name="Normal 15 4" xfId="35" xr:uid="{067417B5-C652-4E2E-8EDA-BF3A8C9244FF}"/>
    <cellStyle name="Normal 2" xfId="9" xr:uid="{00000000-0005-0000-0000-000009000000}"/>
    <cellStyle name="Normal 2 2" xfId="10" xr:uid="{00000000-0005-0000-0000-00000A000000}"/>
    <cellStyle name="Normal 2 3" xfId="11" xr:uid="{00000000-0005-0000-0000-00000B000000}"/>
    <cellStyle name="Normal 2 4" xfId="12" xr:uid="{00000000-0005-0000-0000-00000C000000}"/>
    <cellStyle name="Normal 2 4 2" xfId="36" xr:uid="{C9DF97EB-131B-41E4-83C6-69C7E13D4CA8}"/>
    <cellStyle name="Normal 2 5" xfId="37" xr:uid="{0F783F2D-E7E7-4A45-8551-DC05505B84C8}"/>
    <cellStyle name="Normal 2 6" xfId="38" xr:uid="{D98B5B6B-F4C5-4499-A823-9418C8577128}"/>
    <cellStyle name="Normal 2 7" xfId="39" xr:uid="{48AE9738-C80E-448A-84A0-75F3AE0B716E}"/>
    <cellStyle name="Normal 2 8" xfId="40" xr:uid="{E0B6639A-6A98-4E21-B31C-0747454A8715}"/>
    <cellStyle name="Normal 2 9" xfId="41" xr:uid="{E2C5EAFB-ECC7-4222-82AE-55A6C32A38B8}"/>
    <cellStyle name="Normal 3" xfId="13" xr:uid="{00000000-0005-0000-0000-00000D000000}"/>
    <cellStyle name="Normal 3 2" xfId="14" xr:uid="{00000000-0005-0000-0000-00000E000000}"/>
    <cellStyle name="Normal 3 3" xfId="15" xr:uid="{00000000-0005-0000-0000-00000F000000}"/>
    <cellStyle name="Normal 4" xfId="16" xr:uid="{00000000-0005-0000-0000-000010000000}"/>
    <cellStyle name="Normal 4 2" xfId="42" xr:uid="{D2D4B6B4-9C63-4C60-8D25-7E777C089808}"/>
    <cellStyle name="Normale_DBT completo" xfId="43" xr:uid="{D0E78AC4-54FE-4350-A723-D9D8F6F2EBED}"/>
    <cellStyle name="Percent 2" xfId="17" xr:uid="{00000000-0005-0000-0000-000012000000}"/>
    <cellStyle name="Percent 2 2" xfId="44" xr:uid="{34BE43E4-D05E-445E-B563-3D092EB48E53}"/>
    <cellStyle name="Standard_Sce_D_Extraction" xfId="18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V149"/>
  <sheetViews>
    <sheetView zoomScaleNormal="100" workbookViewId="0"/>
  </sheetViews>
  <sheetFormatPr defaultColWidth="9.1328125" defaultRowHeight="14.25"/>
  <cols>
    <col min="1" max="1" width="10" bestFit="1" customWidth="1"/>
    <col min="2" max="2" width="8.3984375" bestFit="1" customWidth="1"/>
    <col min="3" max="5" width="24.86328125" bestFit="1" customWidth="1"/>
    <col min="7" max="7" width="20.265625" bestFit="1" customWidth="1"/>
    <col min="8" max="8" width="23.3984375" bestFit="1" customWidth="1"/>
    <col min="9" max="9" width="11" bestFit="1" customWidth="1"/>
    <col min="10" max="10" width="12.265625" bestFit="1" customWidth="1"/>
    <col min="11" max="11" width="13.59765625" bestFit="1" customWidth="1"/>
    <col min="12" max="12" width="10.86328125" bestFit="1" customWidth="1"/>
    <col min="13" max="13" width="14.73046875" bestFit="1" customWidth="1"/>
    <col min="14" max="14" width="19.265625" bestFit="1" customWidth="1"/>
    <col min="15" max="15" width="19.1328125" bestFit="1" customWidth="1"/>
    <col min="16" max="16" width="19.1328125" customWidth="1"/>
  </cols>
  <sheetData>
    <row r="1" spans="1:22">
      <c r="B1" t="s">
        <v>69</v>
      </c>
      <c r="I1" t="s">
        <v>54</v>
      </c>
      <c r="J1" t="s">
        <v>55</v>
      </c>
      <c r="K1" t="s">
        <v>64</v>
      </c>
      <c r="L1" t="s">
        <v>11</v>
      </c>
      <c r="M1" t="s">
        <v>65</v>
      </c>
    </row>
    <row r="2" spans="1:22">
      <c r="I2" t="s">
        <v>53</v>
      </c>
      <c r="J2" t="s">
        <v>56</v>
      </c>
      <c r="K2" t="s">
        <v>57</v>
      </c>
      <c r="L2" t="s">
        <v>8</v>
      </c>
      <c r="M2" t="s">
        <v>66</v>
      </c>
    </row>
    <row r="5" spans="1:22">
      <c r="A5" t="s">
        <v>20</v>
      </c>
      <c r="B5" t="s">
        <v>30</v>
      </c>
      <c r="C5" t="s">
        <v>2</v>
      </c>
      <c r="D5" t="s">
        <v>1</v>
      </c>
      <c r="E5" t="s">
        <v>19</v>
      </c>
      <c r="H5" t="s">
        <v>17</v>
      </c>
      <c r="I5" t="str">
        <f>"ScenG_"&amp;I2</f>
        <v>ScenG_CO2</v>
      </c>
      <c r="J5" t="str">
        <f>"ScenG_"&amp;J2</f>
        <v>ScenG_Shale</v>
      </c>
      <c r="K5" t="str">
        <f>"ScenG_"&amp;K2</f>
        <v>ScenG_RECost</v>
      </c>
      <c r="L5" t="str">
        <f>"ScenG_"&amp;L2</f>
        <v>ScenG_Nuc</v>
      </c>
      <c r="M5" t="str">
        <f>"ScenG_"&amp;M2</f>
        <v>ScenG_Regions</v>
      </c>
      <c r="N5" t="s">
        <v>68</v>
      </c>
      <c r="O5" t="s">
        <v>67</v>
      </c>
    </row>
    <row r="6" spans="1:22">
      <c r="A6">
        <v>1</v>
      </c>
      <c r="B6" t="str">
        <f>$B$1&amp;"~"&amp;TEXT(Q6,"000")</f>
        <v>IEMM~001</v>
      </c>
      <c r="C6" t="str">
        <f>H6</f>
        <v>CRef.SRef.ReRef.NY.RgR.</v>
      </c>
      <c r="D6" t="str">
        <f>C6</f>
        <v>CRef.SRef.ReRef.NY.RgR.</v>
      </c>
      <c r="E6" t="str">
        <f>D6</f>
        <v>CRef.SRef.ReRef.NY.RgR.</v>
      </c>
      <c r="H6" t="str">
        <f>R6&amp;S6&amp;T6&amp;U6&amp;V6</f>
        <v>CRef.SRef.ReRef.NY.RgR.</v>
      </c>
      <c r="I6" t="s">
        <v>50</v>
      </c>
      <c r="J6" t="s">
        <v>50</v>
      </c>
      <c r="K6" t="s">
        <v>50</v>
      </c>
      <c r="L6" t="s">
        <v>18</v>
      </c>
      <c r="M6" t="s">
        <v>58</v>
      </c>
      <c r="N6" t="str">
        <f>K6&amp;"-"&amp;J6</f>
        <v>Ref-Ref</v>
      </c>
      <c r="O6" t="str">
        <f>M6&amp;"-"&amp;I6</f>
        <v>R-Ref</v>
      </c>
      <c r="Q6">
        <v>1</v>
      </c>
      <c r="R6" t="str">
        <f>I$1&amp;I6&amp;"."</f>
        <v>CRef.</v>
      </c>
      <c r="S6" t="str">
        <f>J$1&amp;J6&amp;"."</f>
        <v>SRef.</v>
      </c>
      <c r="T6" t="str">
        <f>K$1&amp;K6&amp;"."</f>
        <v>ReRef.</v>
      </c>
      <c r="U6" t="str">
        <f>L$1&amp;L6&amp;"."</f>
        <v>NY.</v>
      </c>
      <c r="V6" t="str">
        <f>M$1&amp;M6&amp;"."</f>
        <v>RgR.</v>
      </c>
    </row>
    <row r="7" spans="1:22">
      <c r="A7">
        <v>1</v>
      </c>
      <c r="B7" t="str">
        <f t="shared" ref="B7:B63" si="0">$B$1&amp;"~"&amp;TEXT(Q7,"000")</f>
        <v>IEMM~002</v>
      </c>
      <c r="C7" t="str">
        <f t="shared" ref="C7:C63" si="1">H7</f>
        <v>CCap.SRef.ReRef.NY.RgR.</v>
      </c>
      <c r="D7" t="str">
        <f t="shared" ref="D7:D63" si="2">C7</f>
        <v>CCap.SRef.ReRef.NY.RgR.</v>
      </c>
      <c r="E7" t="str">
        <f t="shared" ref="E7:E63" si="3">D7</f>
        <v>CCap.SRef.ReRef.NY.RgR.</v>
      </c>
      <c r="H7" t="str">
        <f t="shared" ref="H7:H70" si="4">R7&amp;S7&amp;T7&amp;U7&amp;V7</f>
        <v>CCap.SRef.ReRef.NY.RgR.</v>
      </c>
      <c r="I7" t="s">
        <v>59</v>
      </c>
      <c r="J7" t="s">
        <v>50</v>
      </c>
      <c r="K7" t="s">
        <v>50</v>
      </c>
      <c r="L7" t="s">
        <v>18</v>
      </c>
      <c r="M7" t="s">
        <v>58</v>
      </c>
      <c r="N7" t="str">
        <f t="shared" ref="N7:N70" si="5">K7&amp;"-"&amp;J7</f>
        <v>Ref-Ref</v>
      </c>
      <c r="O7" t="str">
        <f t="shared" ref="O7:O70" si="6">M7&amp;"-"&amp;I7</f>
        <v>R-Cap</v>
      </c>
      <c r="Q7">
        <f>Q6+1</f>
        <v>2</v>
      </c>
      <c r="R7" t="str">
        <f t="shared" ref="R7:R70" si="7">I$1&amp;I7&amp;"."</f>
        <v>CCap.</v>
      </c>
      <c r="S7" t="str">
        <f t="shared" ref="S7:S70" si="8">J$1&amp;J7&amp;"."</f>
        <v>SRef.</v>
      </c>
      <c r="T7" t="str">
        <f t="shared" ref="T7:T70" si="9">K$1&amp;K7&amp;"."</f>
        <v>ReRef.</v>
      </c>
      <c r="U7" t="str">
        <f t="shared" ref="U7:U70" si="10">L$1&amp;L7&amp;"."</f>
        <v>NY.</v>
      </c>
      <c r="V7" t="str">
        <f t="shared" ref="V7:V70" si="11">M$1&amp;M7&amp;"."</f>
        <v>RgR.</v>
      </c>
    </row>
    <row r="8" spans="1:22">
      <c r="A8">
        <v>1</v>
      </c>
      <c r="B8" t="str">
        <f t="shared" si="0"/>
        <v>IEMM~003</v>
      </c>
      <c r="C8" t="str">
        <f t="shared" si="1"/>
        <v>C25-5.SRef.ReRef.NY.RgR.</v>
      </c>
      <c r="D8" t="str">
        <f t="shared" si="2"/>
        <v>C25-5.SRef.ReRef.NY.RgR.</v>
      </c>
      <c r="E8" t="str">
        <f t="shared" si="3"/>
        <v>C25-5.SRef.ReRef.NY.RgR.</v>
      </c>
      <c r="H8" t="str">
        <f t="shared" si="4"/>
        <v>C25-5.SRef.ReRef.NY.RgR.</v>
      </c>
      <c r="I8" t="s">
        <v>60</v>
      </c>
      <c r="J8" t="s">
        <v>50</v>
      </c>
      <c r="K8" t="s">
        <v>50</v>
      </c>
      <c r="L8" t="s">
        <v>18</v>
      </c>
      <c r="M8" t="s">
        <v>58</v>
      </c>
      <c r="N8" t="str">
        <f t="shared" si="5"/>
        <v>Ref-Ref</v>
      </c>
      <c r="O8" t="str">
        <f t="shared" si="6"/>
        <v>R-25-5</v>
      </c>
      <c r="Q8">
        <f t="shared" ref="Q8:Q71" si="12">Q7+1</f>
        <v>3</v>
      </c>
      <c r="R8" t="str">
        <f t="shared" si="7"/>
        <v>C25-5.</v>
      </c>
      <c r="S8" t="str">
        <f t="shared" si="8"/>
        <v>SRef.</v>
      </c>
      <c r="T8" t="str">
        <f t="shared" si="9"/>
        <v>ReRef.</v>
      </c>
      <c r="U8" t="str">
        <f t="shared" si="10"/>
        <v>NY.</v>
      </c>
      <c r="V8" t="str">
        <f t="shared" si="11"/>
        <v>RgR.</v>
      </c>
    </row>
    <row r="9" spans="1:22">
      <c r="A9">
        <v>1</v>
      </c>
      <c r="B9" t="str">
        <f t="shared" si="0"/>
        <v>IEMM~004</v>
      </c>
      <c r="C9" t="str">
        <f t="shared" si="1"/>
        <v>C50-5.SRef.ReRef.NY.RgR.</v>
      </c>
      <c r="D9" t="str">
        <f t="shared" si="2"/>
        <v>C50-5.SRef.ReRef.NY.RgR.</v>
      </c>
      <c r="E9" t="str">
        <f t="shared" si="3"/>
        <v>C50-5.SRef.ReRef.NY.RgR.</v>
      </c>
      <c r="H9" t="str">
        <f t="shared" si="4"/>
        <v>C50-5.SRef.ReRef.NY.RgR.</v>
      </c>
      <c r="I9" t="s">
        <v>61</v>
      </c>
      <c r="J9" t="s">
        <v>50</v>
      </c>
      <c r="K9" t="s">
        <v>50</v>
      </c>
      <c r="L9" t="s">
        <v>18</v>
      </c>
      <c r="M9" t="s">
        <v>58</v>
      </c>
      <c r="N9" t="str">
        <f t="shared" si="5"/>
        <v>Ref-Ref</v>
      </c>
      <c r="O9" t="str">
        <f t="shared" si="6"/>
        <v>R-50-5</v>
      </c>
      <c r="Q9">
        <f t="shared" si="12"/>
        <v>4</v>
      </c>
      <c r="R9" t="str">
        <f t="shared" si="7"/>
        <v>C50-5.</v>
      </c>
      <c r="S9" t="str">
        <f t="shared" si="8"/>
        <v>SRef.</v>
      </c>
      <c r="T9" t="str">
        <f t="shared" si="9"/>
        <v>ReRef.</v>
      </c>
      <c r="U9" t="str">
        <f t="shared" si="10"/>
        <v>NY.</v>
      </c>
      <c r="V9" t="str">
        <f t="shared" si="11"/>
        <v>RgR.</v>
      </c>
    </row>
    <row r="10" spans="1:22">
      <c r="A10">
        <v>1</v>
      </c>
      <c r="B10" t="str">
        <f t="shared" si="0"/>
        <v>IEMM~005</v>
      </c>
      <c r="C10" t="str">
        <f t="shared" si="1"/>
        <v>C25-1.SRef.ReRef.NY.RgR.</v>
      </c>
      <c r="D10" t="str">
        <f t="shared" si="2"/>
        <v>C25-1.SRef.ReRef.NY.RgR.</v>
      </c>
      <c r="E10" t="str">
        <f t="shared" si="3"/>
        <v>C25-1.SRef.ReRef.NY.RgR.</v>
      </c>
      <c r="H10" t="str">
        <f t="shared" si="4"/>
        <v>C25-1.SRef.ReRef.NY.RgR.</v>
      </c>
      <c r="I10" t="s">
        <v>62</v>
      </c>
      <c r="J10" t="s">
        <v>50</v>
      </c>
      <c r="K10" t="s">
        <v>50</v>
      </c>
      <c r="L10" t="s">
        <v>18</v>
      </c>
      <c r="M10" t="s">
        <v>58</v>
      </c>
      <c r="N10" t="str">
        <f t="shared" si="5"/>
        <v>Ref-Ref</v>
      </c>
      <c r="O10" t="str">
        <f t="shared" si="6"/>
        <v>R-25-1</v>
      </c>
      <c r="Q10">
        <f t="shared" si="12"/>
        <v>5</v>
      </c>
      <c r="R10" t="str">
        <f t="shared" si="7"/>
        <v>C25-1.</v>
      </c>
      <c r="S10" t="str">
        <f t="shared" si="8"/>
        <v>SRef.</v>
      </c>
      <c r="T10" t="str">
        <f t="shared" si="9"/>
        <v>ReRef.</v>
      </c>
      <c r="U10" t="str">
        <f t="shared" si="10"/>
        <v>NY.</v>
      </c>
      <c r="V10" t="str">
        <f t="shared" si="11"/>
        <v>RgR.</v>
      </c>
    </row>
    <row r="11" spans="1:22">
      <c r="A11">
        <v>1</v>
      </c>
      <c r="B11" t="str">
        <f t="shared" si="0"/>
        <v>IEMM~006</v>
      </c>
      <c r="C11" t="str">
        <f t="shared" si="1"/>
        <v>C50-1.SRef.ReRef.NY.RgR.</v>
      </c>
      <c r="D11" t="str">
        <f t="shared" si="2"/>
        <v>C50-1.SRef.ReRef.NY.RgR.</v>
      </c>
      <c r="E11" t="str">
        <f t="shared" si="3"/>
        <v>C50-1.SRef.ReRef.NY.RgR.</v>
      </c>
      <c r="H11" t="str">
        <f t="shared" si="4"/>
        <v>C50-1.SRef.ReRef.NY.RgR.</v>
      </c>
      <c r="I11" t="s">
        <v>63</v>
      </c>
      <c r="J11" t="s">
        <v>50</v>
      </c>
      <c r="K11" t="s">
        <v>50</v>
      </c>
      <c r="L11" t="s">
        <v>18</v>
      </c>
      <c r="M11" t="s">
        <v>58</v>
      </c>
      <c r="N11" t="str">
        <f t="shared" si="5"/>
        <v>Ref-Ref</v>
      </c>
      <c r="O11" t="str">
        <f t="shared" si="6"/>
        <v>R-50-1</v>
      </c>
      <c r="Q11">
        <f t="shared" si="12"/>
        <v>6</v>
      </c>
      <c r="R11" t="str">
        <f t="shared" si="7"/>
        <v>C50-1.</v>
      </c>
      <c r="S11" t="str">
        <f t="shared" si="8"/>
        <v>SRef.</v>
      </c>
      <c r="T11" t="str">
        <f t="shared" si="9"/>
        <v>ReRef.</v>
      </c>
      <c r="U11" t="str">
        <f t="shared" si="10"/>
        <v>NY.</v>
      </c>
      <c r="V11" t="str">
        <f t="shared" si="11"/>
        <v>RgR.</v>
      </c>
    </row>
    <row r="12" spans="1:22">
      <c r="A12">
        <v>1</v>
      </c>
      <c r="B12" t="str">
        <f t="shared" si="0"/>
        <v>IEMM~007</v>
      </c>
      <c r="C12" t="str">
        <f t="shared" si="1"/>
        <v>CRef.SLo.ReRef.NY.RgR.</v>
      </c>
      <c r="D12" t="str">
        <f t="shared" si="2"/>
        <v>CRef.SLo.ReRef.NY.RgR.</v>
      </c>
      <c r="E12" t="str">
        <f t="shared" si="3"/>
        <v>CRef.SLo.ReRef.NY.RgR.</v>
      </c>
      <c r="H12" t="str">
        <f t="shared" si="4"/>
        <v>CRef.SLo.ReRef.NY.RgR.</v>
      </c>
      <c r="I12" t="s">
        <v>50</v>
      </c>
      <c r="J12" t="s">
        <v>52</v>
      </c>
      <c r="K12" t="s">
        <v>50</v>
      </c>
      <c r="L12" t="s">
        <v>18</v>
      </c>
      <c r="M12" t="s">
        <v>58</v>
      </c>
      <c r="N12" t="str">
        <f t="shared" si="5"/>
        <v>Ref-Lo</v>
      </c>
      <c r="O12" t="str">
        <f t="shared" si="6"/>
        <v>R-Ref</v>
      </c>
      <c r="Q12">
        <f t="shared" si="12"/>
        <v>7</v>
      </c>
      <c r="R12" t="str">
        <f t="shared" si="7"/>
        <v>CRef.</v>
      </c>
      <c r="S12" t="str">
        <f t="shared" si="8"/>
        <v>SLo.</v>
      </c>
      <c r="T12" t="str">
        <f t="shared" si="9"/>
        <v>ReRef.</v>
      </c>
      <c r="U12" t="str">
        <f t="shared" si="10"/>
        <v>NY.</v>
      </c>
      <c r="V12" t="str">
        <f t="shared" si="11"/>
        <v>RgR.</v>
      </c>
    </row>
    <row r="13" spans="1:22">
      <c r="A13">
        <v>1</v>
      </c>
      <c r="B13" t="str">
        <f t="shared" si="0"/>
        <v>IEMM~008</v>
      </c>
      <c r="C13" t="str">
        <f t="shared" si="1"/>
        <v>CCap.SLo.ReRef.NY.RgR.</v>
      </c>
      <c r="D13" t="str">
        <f t="shared" si="2"/>
        <v>CCap.SLo.ReRef.NY.RgR.</v>
      </c>
      <c r="E13" t="str">
        <f t="shared" si="3"/>
        <v>CCap.SLo.ReRef.NY.RgR.</v>
      </c>
      <c r="H13" t="str">
        <f t="shared" si="4"/>
        <v>CCap.SLo.ReRef.NY.RgR.</v>
      </c>
      <c r="I13" t="s">
        <v>59</v>
      </c>
      <c r="J13" t="s">
        <v>52</v>
      </c>
      <c r="K13" t="s">
        <v>50</v>
      </c>
      <c r="L13" t="s">
        <v>18</v>
      </c>
      <c r="M13" t="s">
        <v>58</v>
      </c>
      <c r="N13" t="str">
        <f t="shared" si="5"/>
        <v>Ref-Lo</v>
      </c>
      <c r="O13" t="str">
        <f t="shared" si="6"/>
        <v>R-Cap</v>
      </c>
      <c r="Q13">
        <f t="shared" si="12"/>
        <v>8</v>
      </c>
      <c r="R13" t="str">
        <f t="shared" si="7"/>
        <v>CCap.</v>
      </c>
      <c r="S13" t="str">
        <f t="shared" si="8"/>
        <v>SLo.</v>
      </c>
      <c r="T13" t="str">
        <f t="shared" si="9"/>
        <v>ReRef.</v>
      </c>
      <c r="U13" t="str">
        <f t="shared" si="10"/>
        <v>NY.</v>
      </c>
      <c r="V13" t="str">
        <f t="shared" si="11"/>
        <v>RgR.</v>
      </c>
    </row>
    <row r="14" spans="1:22">
      <c r="A14">
        <v>1</v>
      </c>
      <c r="B14" t="str">
        <f t="shared" si="0"/>
        <v>IEMM~009</v>
      </c>
      <c r="C14" t="str">
        <f t="shared" si="1"/>
        <v>C25-5.SLo.ReRef.NY.RgR.</v>
      </c>
      <c r="D14" t="str">
        <f t="shared" si="2"/>
        <v>C25-5.SLo.ReRef.NY.RgR.</v>
      </c>
      <c r="E14" t="str">
        <f t="shared" si="3"/>
        <v>C25-5.SLo.ReRef.NY.RgR.</v>
      </c>
      <c r="H14" t="str">
        <f t="shared" si="4"/>
        <v>C25-5.SLo.ReRef.NY.RgR.</v>
      </c>
      <c r="I14" t="s">
        <v>60</v>
      </c>
      <c r="J14" t="s">
        <v>52</v>
      </c>
      <c r="K14" t="s">
        <v>50</v>
      </c>
      <c r="L14" t="s">
        <v>18</v>
      </c>
      <c r="M14" t="s">
        <v>58</v>
      </c>
      <c r="N14" t="str">
        <f t="shared" si="5"/>
        <v>Ref-Lo</v>
      </c>
      <c r="O14" t="str">
        <f t="shared" si="6"/>
        <v>R-25-5</v>
      </c>
      <c r="Q14">
        <f t="shared" si="12"/>
        <v>9</v>
      </c>
      <c r="R14" t="str">
        <f t="shared" si="7"/>
        <v>C25-5.</v>
      </c>
      <c r="S14" t="str">
        <f t="shared" si="8"/>
        <v>SLo.</v>
      </c>
      <c r="T14" t="str">
        <f t="shared" si="9"/>
        <v>ReRef.</v>
      </c>
      <c r="U14" t="str">
        <f t="shared" si="10"/>
        <v>NY.</v>
      </c>
      <c r="V14" t="str">
        <f t="shared" si="11"/>
        <v>RgR.</v>
      </c>
    </row>
    <row r="15" spans="1:22">
      <c r="A15">
        <v>1</v>
      </c>
      <c r="B15" t="str">
        <f t="shared" si="0"/>
        <v>IEMM~010</v>
      </c>
      <c r="C15" t="str">
        <f t="shared" si="1"/>
        <v>C50-5.SLo.ReRef.NY.RgR.</v>
      </c>
      <c r="D15" t="str">
        <f t="shared" si="2"/>
        <v>C50-5.SLo.ReRef.NY.RgR.</v>
      </c>
      <c r="E15" t="str">
        <f t="shared" si="3"/>
        <v>C50-5.SLo.ReRef.NY.RgR.</v>
      </c>
      <c r="H15" t="str">
        <f t="shared" si="4"/>
        <v>C50-5.SLo.ReRef.NY.RgR.</v>
      </c>
      <c r="I15" t="s">
        <v>61</v>
      </c>
      <c r="J15" t="s">
        <v>52</v>
      </c>
      <c r="K15" t="s">
        <v>50</v>
      </c>
      <c r="L15" t="s">
        <v>18</v>
      </c>
      <c r="M15" t="s">
        <v>58</v>
      </c>
      <c r="N15" t="str">
        <f t="shared" si="5"/>
        <v>Ref-Lo</v>
      </c>
      <c r="O15" t="str">
        <f t="shared" si="6"/>
        <v>R-50-5</v>
      </c>
      <c r="Q15">
        <f t="shared" si="12"/>
        <v>10</v>
      </c>
      <c r="R15" t="str">
        <f t="shared" si="7"/>
        <v>C50-5.</v>
      </c>
      <c r="S15" t="str">
        <f t="shared" si="8"/>
        <v>SLo.</v>
      </c>
      <c r="T15" t="str">
        <f t="shared" si="9"/>
        <v>ReRef.</v>
      </c>
      <c r="U15" t="str">
        <f t="shared" si="10"/>
        <v>NY.</v>
      </c>
      <c r="V15" t="str">
        <f t="shared" si="11"/>
        <v>RgR.</v>
      </c>
    </row>
    <row r="16" spans="1:22">
      <c r="A16">
        <v>1</v>
      </c>
      <c r="B16" t="str">
        <f t="shared" si="0"/>
        <v>IEMM~011</v>
      </c>
      <c r="C16" t="str">
        <f t="shared" si="1"/>
        <v>C25-1.SLo.ReRef.NY.RgR.</v>
      </c>
      <c r="D16" t="str">
        <f t="shared" si="2"/>
        <v>C25-1.SLo.ReRef.NY.RgR.</v>
      </c>
      <c r="E16" t="str">
        <f t="shared" si="3"/>
        <v>C25-1.SLo.ReRef.NY.RgR.</v>
      </c>
      <c r="H16" t="str">
        <f t="shared" si="4"/>
        <v>C25-1.SLo.ReRef.NY.RgR.</v>
      </c>
      <c r="I16" t="s">
        <v>62</v>
      </c>
      <c r="J16" t="s">
        <v>52</v>
      </c>
      <c r="K16" t="s">
        <v>50</v>
      </c>
      <c r="L16" t="s">
        <v>18</v>
      </c>
      <c r="M16" t="s">
        <v>58</v>
      </c>
      <c r="N16" t="str">
        <f t="shared" si="5"/>
        <v>Ref-Lo</v>
      </c>
      <c r="O16" t="str">
        <f t="shared" si="6"/>
        <v>R-25-1</v>
      </c>
      <c r="Q16">
        <f t="shared" si="12"/>
        <v>11</v>
      </c>
      <c r="R16" t="str">
        <f t="shared" si="7"/>
        <v>C25-1.</v>
      </c>
      <c r="S16" t="str">
        <f t="shared" si="8"/>
        <v>SLo.</v>
      </c>
      <c r="T16" t="str">
        <f t="shared" si="9"/>
        <v>ReRef.</v>
      </c>
      <c r="U16" t="str">
        <f t="shared" si="10"/>
        <v>NY.</v>
      </c>
      <c r="V16" t="str">
        <f t="shared" si="11"/>
        <v>RgR.</v>
      </c>
    </row>
    <row r="17" spans="1:22">
      <c r="A17">
        <v>1</v>
      </c>
      <c r="B17" t="str">
        <f t="shared" si="0"/>
        <v>IEMM~012</v>
      </c>
      <c r="C17" t="str">
        <f t="shared" si="1"/>
        <v>C50-1.SLo.ReRef.NY.RgR.</v>
      </c>
      <c r="D17" t="str">
        <f t="shared" si="2"/>
        <v>C50-1.SLo.ReRef.NY.RgR.</v>
      </c>
      <c r="E17" t="str">
        <f t="shared" si="3"/>
        <v>C50-1.SLo.ReRef.NY.RgR.</v>
      </c>
      <c r="H17" t="str">
        <f t="shared" si="4"/>
        <v>C50-1.SLo.ReRef.NY.RgR.</v>
      </c>
      <c r="I17" t="s">
        <v>63</v>
      </c>
      <c r="J17" t="s">
        <v>52</v>
      </c>
      <c r="K17" t="s">
        <v>50</v>
      </c>
      <c r="L17" t="s">
        <v>18</v>
      </c>
      <c r="M17" t="s">
        <v>58</v>
      </c>
      <c r="N17" t="str">
        <f t="shared" si="5"/>
        <v>Ref-Lo</v>
      </c>
      <c r="O17" t="str">
        <f t="shared" si="6"/>
        <v>R-50-1</v>
      </c>
      <c r="Q17">
        <f t="shared" si="12"/>
        <v>12</v>
      </c>
      <c r="R17" t="str">
        <f t="shared" si="7"/>
        <v>C50-1.</v>
      </c>
      <c r="S17" t="str">
        <f t="shared" si="8"/>
        <v>SLo.</v>
      </c>
      <c r="T17" t="str">
        <f t="shared" si="9"/>
        <v>ReRef.</v>
      </c>
      <c r="U17" t="str">
        <f t="shared" si="10"/>
        <v>NY.</v>
      </c>
      <c r="V17" t="str">
        <f t="shared" si="11"/>
        <v>RgR.</v>
      </c>
    </row>
    <row r="18" spans="1:22">
      <c r="A18">
        <v>1</v>
      </c>
      <c r="B18" t="str">
        <f t="shared" si="0"/>
        <v>IEMM~013</v>
      </c>
      <c r="C18" t="str">
        <f t="shared" si="1"/>
        <v>CRef.SHi.ReRef.NY.RgR.</v>
      </c>
      <c r="D18" t="str">
        <f t="shared" si="2"/>
        <v>CRef.SHi.ReRef.NY.RgR.</v>
      </c>
      <c r="E18" t="str">
        <f t="shared" si="3"/>
        <v>CRef.SHi.ReRef.NY.RgR.</v>
      </c>
      <c r="H18" t="str">
        <f t="shared" si="4"/>
        <v>CRef.SHi.ReRef.NY.RgR.</v>
      </c>
      <c r="I18" t="s">
        <v>50</v>
      </c>
      <c r="J18" t="s">
        <v>51</v>
      </c>
      <c r="K18" t="s">
        <v>50</v>
      </c>
      <c r="L18" t="s">
        <v>18</v>
      </c>
      <c r="M18" t="s">
        <v>58</v>
      </c>
      <c r="N18" t="str">
        <f t="shared" si="5"/>
        <v>Ref-Hi</v>
      </c>
      <c r="O18" t="str">
        <f t="shared" si="6"/>
        <v>R-Ref</v>
      </c>
      <c r="Q18">
        <f t="shared" si="12"/>
        <v>13</v>
      </c>
      <c r="R18" t="str">
        <f t="shared" si="7"/>
        <v>CRef.</v>
      </c>
      <c r="S18" t="str">
        <f t="shared" si="8"/>
        <v>SHi.</v>
      </c>
      <c r="T18" t="str">
        <f t="shared" si="9"/>
        <v>ReRef.</v>
      </c>
      <c r="U18" t="str">
        <f t="shared" si="10"/>
        <v>NY.</v>
      </c>
      <c r="V18" t="str">
        <f t="shared" si="11"/>
        <v>RgR.</v>
      </c>
    </row>
    <row r="19" spans="1:22">
      <c r="A19">
        <v>1</v>
      </c>
      <c r="B19" t="str">
        <f t="shared" si="0"/>
        <v>IEMM~014</v>
      </c>
      <c r="C19" t="str">
        <f t="shared" si="1"/>
        <v>CCap.SHi.ReRef.NY.RgR.</v>
      </c>
      <c r="D19" t="str">
        <f t="shared" si="2"/>
        <v>CCap.SHi.ReRef.NY.RgR.</v>
      </c>
      <c r="E19" t="str">
        <f t="shared" si="3"/>
        <v>CCap.SHi.ReRef.NY.RgR.</v>
      </c>
      <c r="H19" t="str">
        <f t="shared" si="4"/>
        <v>CCap.SHi.ReRef.NY.RgR.</v>
      </c>
      <c r="I19" t="s">
        <v>59</v>
      </c>
      <c r="J19" t="s">
        <v>51</v>
      </c>
      <c r="K19" t="s">
        <v>50</v>
      </c>
      <c r="L19" t="s">
        <v>18</v>
      </c>
      <c r="M19" t="s">
        <v>58</v>
      </c>
      <c r="N19" t="str">
        <f t="shared" si="5"/>
        <v>Ref-Hi</v>
      </c>
      <c r="O19" t="str">
        <f t="shared" si="6"/>
        <v>R-Cap</v>
      </c>
      <c r="Q19">
        <f t="shared" si="12"/>
        <v>14</v>
      </c>
      <c r="R19" t="str">
        <f t="shared" si="7"/>
        <v>CCap.</v>
      </c>
      <c r="S19" t="str">
        <f t="shared" si="8"/>
        <v>SHi.</v>
      </c>
      <c r="T19" t="str">
        <f t="shared" si="9"/>
        <v>ReRef.</v>
      </c>
      <c r="U19" t="str">
        <f t="shared" si="10"/>
        <v>NY.</v>
      </c>
      <c r="V19" t="str">
        <f t="shared" si="11"/>
        <v>RgR.</v>
      </c>
    </row>
    <row r="20" spans="1:22">
      <c r="A20">
        <v>1</v>
      </c>
      <c r="B20" t="str">
        <f t="shared" si="0"/>
        <v>IEMM~015</v>
      </c>
      <c r="C20" t="str">
        <f t="shared" si="1"/>
        <v>C25-5.SHi.ReRef.NY.RgR.</v>
      </c>
      <c r="D20" t="str">
        <f t="shared" si="2"/>
        <v>C25-5.SHi.ReRef.NY.RgR.</v>
      </c>
      <c r="E20" t="str">
        <f t="shared" si="3"/>
        <v>C25-5.SHi.ReRef.NY.RgR.</v>
      </c>
      <c r="H20" t="str">
        <f t="shared" si="4"/>
        <v>C25-5.SHi.ReRef.NY.RgR.</v>
      </c>
      <c r="I20" t="s">
        <v>60</v>
      </c>
      <c r="J20" t="s">
        <v>51</v>
      </c>
      <c r="K20" t="s">
        <v>50</v>
      </c>
      <c r="L20" t="s">
        <v>18</v>
      </c>
      <c r="M20" t="s">
        <v>58</v>
      </c>
      <c r="N20" t="str">
        <f t="shared" si="5"/>
        <v>Ref-Hi</v>
      </c>
      <c r="O20" t="str">
        <f t="shared" si="6"/>
        <v>R-25-5</v>
      </c>
      <c r="Q20">
        <f t="shared" si="12"/>
        <v>15</v>
      </c>
      <c r="R20" t="str">
        <f t="shared" si="7"/>
        <v>C25-5.</v>
      </c>
      <c r="S20" t="str">
        <f t="shared" si="8"/>
        <v>SHi.</v>
      </c>
      <c r="T20" t="str">
        <f t="shared" si="9"/>
        <v>ReRef.</v>
      </c>
      <c r="U20" t="str">
        <f t="shared" si="10"/>
        <v>NY.</v>
      </c>
      <c r="V20" t="str">
        <f t="shared" si="11"/>
        <v>RgR.</v>
      </c>
    </row>
    <row r="21" spans="1:22">
      <c r="A21">
        <v>1</v>
      </c>
      <c r="B21" t="str">
        <f t="shared" si="0"/>
        <v>IEMM~016</v>
      </c>
      <c r="C21" t="str">
        <f t="shared" si="1"/>
        <v>C50-5.SHi.ReRef.NY.RgR.</v>
      </c>
      <c r="D21" t="str">
        <f t="shared" si="2"/>
        <v>C50-5.SHi.ReRef.NY.RgR.</v>
      </c>
      <c r="E21" t="str">
        <f t="shared" si="3"/>
        <v>C50-5.SHi.ReRef.NY.RgR.</v>
      </c>
      <c r="H21" t="str">
        <f t="shared" si="4"/>
        <v>C50-5.SHi.ReRef.NY.RgR.</v>
      </c>
      <c r="I21" t="s">
        <v>61</v>
      </c>
      <c r="J21" t="s">
        <v>51</v>
      </c>
      <c r="K21" t="s">
        <v>50</v>
      </c>
      <c r="L21" t="s">
        <v>18</v>
      </c>
      <c r="M21" t="s">
        <v>58</v>
      </c>
      <c r="N21" t="str">
        <f t="shared" si="5"/>
        <v>Ref-Hi</v>
      </c>
      <c r="O21" t="str">
        <f t="shared" si="6"/>
        <v>R-50-5</v>
      </c>
      <c r="Q21">
        <f t="shared" si="12"/>
        <v>16</v>
      </c>
      <c r="R21" t="str">
        <f t="shared" si="7"/>
        <v>C50-5.</v>
      </c>
      <c r="S21" t="str">
        <f t="shared" si="8"/>
        <v>SHi.</v>
      </c>
      <c r="T21" t="str">
        <f t="shared" si="9"/>
        <v>ReRef.</v>
      </c>
      <c r="U21" t="str">
        <f t="shared" si="10"/>
        <v>NY.</v>
      </c>
      <c r="V21" t="str">
        <f t="shared" si="11"/>
        <v>RgR.</v>
      </c>
    </row>
    <row r="22" spans="1:22">
      <c r="A22">
        <v>1</v>
      </c>
      <c r="B22" t="str">
        <f t="shared" si="0"/>
        <v>IEMM~017</v>
      </c>
      <c r="C22" t="str">
        <f t="shared" si="1"/>
        <v>C25-1.SHi.ReRef.NY.RgR.</v>
      </c>
      <c r="D22" t="str">
        <f t="shared" si="2"/>
        <v>C25-1.SHi.ReRef.NY.RgR.</v>
      </c>
      <c r="E22" t="str">
        <f t="shared" si="3"/>
        <v>C25-1.SHi.ReRef.NY.RgR.</v>
      </c>
      <c r="H22" t="str">
        <f t="shared" si="4"/>
        <v>C25-1.SHi.ReRef.NY.RgR.</v>
      </c>
      <c r="I22" t="s">
        <v>62</v>
      </c>
      <c r="J22" t="s">
        <v>51</v>
      </c>
      <c r="K22" t="s">
        <v>50</v>
      </c>
      <c r="L22" t="s">
        <v>18</v>
      </c>
      <c r="M22" t="s">
        <v>58</v>
      </c>
      <c r="N22" t="str">
        <f t="shared" si="5"/>
        <v>Ref-Hi</v>
      </c>
      <c r="O22" t="str">
        <f t="shared" si="6"/>
        <v>R-25-1</v>
      </c>
      <c r="Q22">
        <f t="shared" si="12"/>
        <v>17</v>
      </c>
      <c r="R22" t="str">
        <f t="shared" si="7"/>
        <v>C25-1.</v>
      </c>
      <c r="S22" t="str">
        <f t="shared" si="8"/>
        <v>SHi.</v>
      </c>
      <c r="T22" t="str">
        <f t="shared" si="9"/>
        <v>ReRef.</v>
      </c>
      <c r="U22" t="str">
        <f t="shared" si="10"/>
        <v>NY.</v>
      </c>
      <c r="V22" t="str">
        <f t="shared" si="11"/>
        <v>RgR.</v>
      </c>
    </row>
    <row r="23" spans="1:22">
      <c r="A23">
        <v>1</v>
      </c>
      <c r="B23" t="str">
        <f t="shared" si="0"/>
        <v>IEMM~018</v>
      </c>
      <c r="C23" t="str">
        <f t="shared" si="1"/>
        <v>C50-1.SHi.ReRef.NY.RgR.</v>
      </c>
      <c r="D23" t="str">
        <f t="shared" si="2"/>
        <v>C50-1.SHi.ReRef.NY.RgR.</v>
      </c>
      <c r="E23" t="str">
        <f t="shared" si="3"/>
        <v>C50-1.SHi.ReRef.NY.RgR.</v>
      </c>
      <c r="H23" t="str">
        <f t="shared" si="4"/>
        <v>C50-1.SHi.ReRef.NY.RgR.</v>
      </c>
      <c r="I23" t="s">
        <v>63</v>
      </c>
      <c r="J23" t="s">
        <v>51</v>
      </c>
      <c r="K23" t="s">
        <v>50</v>
      </c>
      <c r="L23" t="s">
        <v>18</v>
      </c>
      <c r="M23" t="s">
        <v>58</v>
      </c>
      <c r="N23" t="str">
        <f t="shared" si="5"/>
        <v>Ref-Hi</v>
      </c>
      <c r="O23" t="str">
        <f t="shared" si="6"/>
        <v>R-50-1</v>
      </c>
      <c r="Q23">
        <f t="shared" si="12"/>
        <v>18</v>
      </c>
      <c r="R23" t="str">
        <f t="shared" si="7"/>
        <v>C50-1.</v>
      </c>
      <c r="S23" t="str">
        <f t="shared" si="8"/>
        <v>SHi.</v>
      </c>
      <c r="T23" t="str">
        <f t="shared" si="9"/>
        <v>ReRef.</v>
      </c>
      <c r="U23" t="str">
        <f t="shared" si="10"/>
        <v>NY.</v>
      </c>
      <c r="V23" t="str">
        <f t="shared" si="11"/>
        <v>RgR.</v>
      </c>
    </row>
    <row r="24" spans="1:22">
      <c r="A24">
        <v>1</v>
      </c>
      <c r="B24" t="str">
        <f t="shared" si="0"/>
        <v>IEMM~019</v>
      </c>
      <c r="C24" t="str">
        <f t="shared" si="1"/>
        <v>CRef.SRef.ReLo.NY.RgR.</v>
      </c>
      <c r="D24" t="str">
        <f t="shared" si="2"/>
        <v>CRef.SRef.ReLo.NY.RgR.</v>
      </c>
      <c r="E24" t="str">
        <f t="shared" si="3"/>
        <v>CRef.SRef.ReLo.NY.RgR.</v>
      </c>
      <c r="H24" t="str">
        <f t="shared" si="4"/>
        <v>CRef.SRef.ReLo.NY.RgR.</v>
      </c>
      <c r="I24" t="s">
        <v>50</v>
      </c>
      <c r="J24" t="s">
        <v>50</v>
      </c>
      <c r="K24" t="s">
        <v>52</v>
      </c>
      <c r="L24" t="s">
        <v>18</v>
      </c>
      <c r="M24" t="s">
        <v>58</v>
      </c>
      <c r="N24" t="str">
        <f t="shared" si="5"/>
        <v>Lo-Ref</v>
      </c>
      <c r="O24" t="str">
        <f t="shared" si="6"/>
        <v>R-Ref</v>
      </c>
      <c r="Q24">
        <f t="shared" si="12"/>
        <v>19</v>
      </c>
      <c r="R24" t="str">
        <f t="shared" si="7"/>
        <v>CRef.</v>
      </c>
      <c r="S24" t="str">
        <f t="shared" si="8"/>
        <v>SRef.</v>
      </c>
      <c r="T24" t="str">
        <f t="shared" si="9"/>
        <v>ReLo.</v>
      </c>
      <c r="U24" t="str">
        <f t="shared" si="10"/>
        <v>NY.</v>
      </c>
      <c r="V24" t="str">
        <f t="shared" si="11"/>
        <v>RgR.</v>
      </c>
    </row>
    <row r="25" spans="1:22">
      <c r="A25">
        <v>1</v>
      </c>
      <c r="B25" t="str">
        <f t="shared" si="0"/>
        <v>IEMM~020</v>
      </c>
      <c r="C25" t="str">
        <f t="shared" si="1"/>
        <v>CCap.SRef.ReLo.NY.RgR.</v>
      </c>
      <c r="D25" t="str">
        <f t="shared" si="2"/>
        <v>CCap.SRef.ReLo.NY.RgR.</v>
      </c>
      <c r="E25" t="str">
        <f t="shared" si="3"/>
        <v>CCap.SRef.ReLo.NY.RgR.</v>
      </c>
      <c r="H25" t="str">
        <f t="shared" si="4"/>
        <v>CCap.SRef.ReLo.NY.RgR.</v>
      </c>
      <c r="I25" t="s">
        <v>59</v>
      </c>
      <c r="J25" t="s">
        <v>50</v>
      </c>
      <c r="K25" t="s">
        <v>52</v>
      </c>
      <c r="L25" t="s">
        <v>18</v>
      </c>
      <c r="M25" t="s">
        <v>58</v>
      </c>
      <c r="N25" t="str">
        <f t="shared" si="5"/>
        <v>Lo-Ref</v>
      </c>
      <c r="O25" t="str">
        <f t="shared" si="6"/>
        <v>R-Cap</v>
      </c>
      <c r="Q25">
        <f t="shared" si="12"/>
        <v>20</v>
      </c>
      <c r="R25" t="str">
        <f t="shared" si="7"/>
        <v>CCap.</v>
      </c>
      <c r="S25" t="str">
        <f t="shared" si="8"/>
        <v>SRef.</v>
      </c>
      <c r="T25" t="str">
        <f t="shared" si="9"/>
        <v>ReLo.</v>
      </c>
      <c r="U25" t="str">
        <f t="shared" si="10"/>
        <v>NY.</v>
      </c>
      <c r="V25" t="str">
        <f t="shared" si="11"/>
        <v>RgR.</v>
      </c>
    </row>
    <row r="26" spans="1:22">
      <c r="A26">
        <v>1</v>
      </c>
      <c r="B26" t="str">
        <f t="shared" si="0"/>
        <v>IEMM~021</v>
      </c>
      <c r="C26" t="str">
        <f t="shared" si="1"/>
        <v>C25-5.SRef.ReLo.NY.RgR.</v>
      </c>
      <c r="D26" t="str">
        <f t="shared" si="2"/>
        <v>C25-5.SRef.ReLo.NY.RgR.</v>
      </c>
      <c r="E26" t="str">
        <f t="shared" si="3"/>
        <v>C25-5.SRef.ReLo.NY.RgR.</v>
      </c>
      <c r="H26" t="str">
        <f t="shared" si="4"/>
        <v>C25-5.SRef.ReLo.NY.RgR.</v>
      </c>
      <c r="I26" t="s">
        <v>60</v>
      </c>
      <c r="J26" t="s">
        <v>50</v>
      </c>
      <c r="K26" t="s">
        <v>52</v>
      </c>
      <c r="L26" t="s">
        <v>18</v>
      </c>
      <c r="M26" t="s">
        <v>58</v>
      </c>
      <c r="N26" t="str">
        <f t="shared" si="5"/>
        <v>Lo-Ref</v>
      </c>
      <c r="O26" t="str">
        <f t="shared" si="6"/>
        <v>R-25-5</v>
      </c>
      <c r="Q26">
        <f t="shared" si="12"/>
        <v>21</v>
      </c>
      <c r="R26" t="str">
        <f t="shared" si="7"/>
        <v>C25-5.</v>
      </c>
      <c r="S26" t="str">
        <f t="shared" si="8"/>
        <v>SRef.</v>
      </c>
      <c r="T26" t="str">
        <f t="shared" si="9"/>
        <v>ReLo.</v>
      </c>
      <c r="U26" t="str">
        <f t="shared" si="10"/>
        <v>NY.</v>
      </c>
      <c r="V26" t="str">
        <f t="shared" si="11"/>
        <v>RgR.</v>
      </c>
    </row>
    <row r="27" spans="1:22">
      <c r="A27">
        <v>1</v>
      </c>
      <c r="B27" t="str">
        <f t="shared" si="0"/>
        <v>IEMM~022</v>
      </c>
      <c r="C27" t="str">
        <f t="shared" si="1"/>
        <v>C50-5.SRef.ReLo.NY.RgR.</v>
      </c>
      <c r="D27" t="str">
        <f t="shared" si="2"/>
        <v>C50-5.SRef.ReLo.NY.RgR.</v>
      </c>
      <c r="E27" t="str">
        <f t="shared" si="3"/>
        <v>C50-5.SRef.ReLo.NY.RgR.</v>
      </c>
      <c r="H27" t="str">
        <f t="shared" si="4"/>
        <v>C50-5.SRef.ReLo.NY.RgR.</v>
      </c>
      <c r="I27" t="s">
        <v>61</v>
      </c>
      <c r="J27" t="s">
        <v>50</v>
      </c>
      <c r="K27" t="s">
        <v>52</v>
      </c>
      <c r="L27" t="s">
        <v>18</v>
      </c>
      <c r="M27" t="s">
        <v>58</v>
      </c>
      <c r="N27" t="str">
        <f t="shared" si="5"/>
        <v>Lo-Ref</v>
      </c>
      <c r="O27" t="str">
        <f t="shared" si="6"/>
        <v>R-50-5</v>
      </c>
      <c r="Q27">
        <f t="shared" si="12"/>
        <v>22</v>
      </c>
      <c r="R27" t="str">
        <f t="shared" si="7"/>
        <v>C50-5.</v>
      </c>
      <c r="S27" t="str">
        <f t="shared" si="8"/>
        <v>SRef.</v>
      </c>
      <c r="T27" t="str">
        <f t="shared" si="9"/>
        <v>ReLo.</v>
      </c>
      <c r="U27" t="str">
        <f t="shared" si="10"/>
        <v>NY.</v>
      </c>
      <c r="V27" t="str">
        <f t="shared" si="11"/>
        <v>RgR.</v>
      </c>
    </row>
    <row r="28" spans="1:22">
      <c r="A28">
        <v>1</v>
      </c>
      <c r="B28" t="str">
        <f t="shared" si="0"/>
        <v>IEMM~023</v>
      </c>
      <c r="C28" t="str">
        <f t="shared" si="1"/>
        <v>C25-1.SRef.ReLo.NY.RgR.</v>
      </c>
      <c r="D28" t="str">
        <f t="shared" si="2"/>
        <v>C25-1.SRef.ReLo.NY.RgR.</v>
      </c>
      <c r="E28" t="str">
        <f t="shared" si="3"/>
        <v>C25-1.SRef.ReLo.NY.RgR.</v>
      </c>
      <c r="H28" t="str">
        <f t="shared" si="4"/>
        <v>C25-1.SRef.ReLo.NY.RgR.</v>
      </c>
      <c r="I28" t="s">
        <v>62</v>
      </c>
      <c r="J28" t="s">
        <v>50</v>
      </c>
      <c r="K28" t="s">
        <v>52</v>
      </c>
      <c r="L28" t="s">
        <v>18</v>
      </c>
      <c r="M28" t="s">
        <v>58</v>
      </c>
      <c r="N28" t="str">
        <f t="shared" si="5"/>
        <v>Lo-Ref</v>
      </c>
      <c r="O28" t="str">
        <f t="shared" si="6"/>
        <v>R-25-1</v>
      </c>
      <c r="Q28">
        <f t="shared" si="12"/>
        <v>23</v>
      </c>
      <c r="R28" t="str">
        <f t="shared" si="7"/>
        <v>C25-1.</v>
      </c>
      <c r="S28" t="str">
        <f t="shared" si="8"/>
        <v>SRef.</v>
      </c>
      <c r="T28" t="str">
        <f t="shared" si="9"/>
        <v>ReLo.</v>
      </c>
      <c r="U28" t="str">
        <f t="shared" si="10"/>
        <v>NY.</v>
      </c>
      <c r="V28" t="str">
        <f t="shared" si="11"/>
        <v>RgR.</v>
      </c>
    </row>
    <row r="29" spans="1:22">
      <c r="A29">
        <v>1</v>
      </c>
      <c r="B29" t="str">
        <f t="shared" si="0"/>
        <v>IEMM~024</v>
      </c>
      <c r="C29" t="str">
        <f t="shared" si="1"/>
        <v>C50-1.SRef.ReLo.NY.RgR.</v>
      </c>
      <c r="D29" t="str">
        <f t="shared" si="2"/>
        <v>C50-1.SRef.ReLo.NY.RgR.</v>
      </c>
      <c r="E29" t="str">
        <f t="shared" si="3"/>
        <v>C50-1.SRef.ReLo.NY.RgR.</v>
      </c>
      <c r="H29" t="str">
        <f t="shared" si="4"/>
        <v>C50-1.SRef.ReLo.NY.RgR.</v>
      </c>
      <c r="I29" t="s">
        <v>63</v>
      </c>
      <c r="J29" t="s">
        <v>50</v>
      </c>
      <c r="K29" t="s">
        <v>52</v>
      </c>
      <c r="L29" t="s">
        <v>18</v>
      </c>
      <c r="M29" t="s">
        <v>58</v>
      </c>
      <c r="N29" t="str">
        <f t="shared" si="5"/>
        <v>Lo-Ref</v>
      </c>
      <c r="O29" t="str">
        <f t="shared" si="6"/>
        <v>R-50-1</v>
      </c>
      <c r="Q29">
        <f t="shared" si="12"/>
        <v>24</v>
      </c>
      <c r="R29" t="str">
        <f t="shared" si="7"/>
        <v>C50-1.</v>
      </c>
      <c r="S29" t="str">
        <f t="shared" si="8"/>
        <v>SRef.</v>
      </c>
      <c r="T29" t="str">
        <f t="shared" si="9"/>
        <v>ReLo.</v>
      </c>
      <c r="U29" t="str">
        <f t="shared" si="10"/>
        <v>NY.</v>
      </c>
      <c r="V29" t="str">
        <f t="shared" si="11"/>
        <v>RgR.</v>
      </c>
    </row>
    <row r="30" spans="1:22">
      <c r="A30">
        <v>1</v>
      </c>
      <c r="B30" t="str">
        <f t="shared" si="0"/>
        <v>IEMM~025</v>
      </c>
      <c r="C30" t="str">
        <f t="shared" si="1"/>
        <v>CRef.SLo.ReLo.NY.RgR.</v>
      </c>
      <c r="D30" t="str">
        <f t="shared" si="2"/>
        <v>CRef.SLo.ReLo.NY.RgR.</v>
      </c>
      <c r="E30" t="str">
        <f t="shared" si="3"/>
        <v>CRef.SLo.ReLo.NY.RgR.</v>
      </c>
      <c r="H30" t="str">
        <f t="shared" si="4"/>
        <v>CRef.SLo.ReLo.NY.RgR.</v>
      </c>
      <c r="I30" t="s">
        <v>50</v>
      </c>
      <c r="J30" t="s">
        <v>52</v>
      </c>
      <c r="K30" t="s">
        <v>52</v>
      </c>
      <c r="L30" t="s">
        <v>18</v>
      </c>
      <c r="M30" t="s">
        <v>58</v>
      </c>
      <c r="N30" t="str">
        <f t="shared" si="5"/>
        <v>Lo-Lo</v>
      </c>
      <c r="O30" t="str">
        <f t="shared" si="6"/>
        <v>R-Ref</v>
      </c>
      <c r="Q30">
        <f t="shared" si="12"/>
        <v>25</v>
      </c>
      <c r="R30" t="str">
        <f t="shared" si="7"/>
        <v>CRef.</v>
      </c>
      <c r="S30" t="str">
        <f t="shared" si="8"/>
        <v>SLo.</v>
      </c>
      <c r="T30" t="str">
        <f t="shared" si="9"/>
        <v>ReLo.</v>
      </c>
      <c r="U30" t="str">
        <f t="shared" si="10"/>
        <v>NY.</v>
      </c>
      <c r="V30" t="str">
        <f t="shared" si="11"/>
        <v>RgR.</v>
      </c>
    </row>
    <row r="31" spans="1:22">
      <c r="A31">
        <v>1</v>
      </c>
      <c r="B31" t="str">
        <f t="shared" si="0"/>
        <v>IEMM~026</v>
      </c>
      <c r="C31" t="str">
        <f t="shared" si="1"/>
        <v>CCap.SLo.ReLo.NY.RgR.</v>
      </c>
      <c r="D31" t="str">
        <f t="shared" si="2"/>
        <v>CCap.SLo.ReLo.NY.RgR.</v>
      </c>
      <c r="E31" t="str">
        <f t="shared" si="3"/>
        <v>CCap.SLo.ReLo.NY.RgR.</v>
      </c>
      <c r="H31" t="str">
        <f t="shared" si="4"/>
        <v>CCap.SLo.ReLo.NY.RgR.</v>
      </c>
      <c r="I31" t="s">
        <v>59</v>
      </c>
      <c r="J31" t="s">
        <v>52</v>
      </c>
      <c r="K31" t="s">
        <v>52</v>
      </c>
      <c r="L31" t="s">
        <v>18</v>
      </c>
      <c r="M31" t="s">
        <v>58</v>
      </c>
      <c r="N31" t="str">
        <f t="shared" si="5"/>
        <v>Lo-Lo</v>
      </c>
      <c r="O31" t="str">
        <f t="shared" si="6"/>
        <v>R-Cap</v>
      </c>
      <c r="Q31">
        <f t="shared" si="12"/>
        <v>26</v>
      </c>
      <c r="R31" t="str">
        <f t="shared" si="7"/>
        <v>CCap.</v>
      </c>
      <c r="S31" t="str">
        <f t="shared" si="8"/>
        <v>SLo.</v>
      </c>
      <c r="T31" t="str">
        <f t="shared" si="9"/>
        <v>ReLo.</v>
      </c>
      <c r="U31" t="str">
        <f t="shared" si="10"/>
        <v>NY.</v>
      </c>
      <c r="V31" t="str">
        <f t="shared" si="11"/>
        <v>RgR.</v>
      </c>
    </row>
    <row r="32" spans="1:22">
      <c r="A32">
        <v>1</v>
      </c>
      <c r="B32" t="str">
        <f t="shared" si="0"/>
        <v>IEMM~027</v>
      </c>
      <c r="C32" t="str">
        <f t="shared" si="1"/>
        <v>C25-5.SLo.ReLo.NY.RgR.</v>
      </c>
      <c r="D32" t="str">
        <f t="shared" si="2"/>
        <v>C25-5.SLo.ReLo.NY.RgR.</v>
      </c>
      <c r="E32" t="str">
        <f t="shared" si="3"/>
        <v>C25-5.SLo.ReLo.NY.RgR.</v>
      </c>
      <c r="H32" t="str">
        <f t="shared" si="4"/>
        <v>C25-5.SLo.ReLo.NY.RgR.</v>
      </c>
      <c r="I32" t="s">
        <v>60</v>
      </c>
      <c r="J32" t="s">
        <v>52</v>
      </c>
      <c r="K32" t="s">
        <v>52</v>
      </c>
      <c r="L32" t="s">
        <v>18</v>
      </c>
      <c r="M32" t="s">
        <v>58</v>
      </c>
      <c r="N32" t="str">
        <f t="shared" si="5"/>
        <v>Lo-Lo</v>
      </c>
      <c r="O32" t="str">
        <f t="shared" si="6"/>
        <v>R-25-5</v>
      </c>
      <c r="Q32">
        <f t="shared" si="12"/>
        <v>27</v>
      </c>
      <c r="R32" t="str">
        <f t="shared" si="7"/>
        <v>C25-5.</v>
      </c>
      <c r="S32" t="str">
        <f t="shared" si="8"/>
        <v>SLo.</v>
      </c>
      <c r="T32" t="str">
        <f t="shared" si="9"/>
        <v>ReLo.</v>
      </c>
      <c r="U32" t="str">
        <f t="shared" si="10"/>
        <v>NY.</v>
      </c>
      <c r="V32" t="str">
        <f t="shared" si="11"/>
        <v>RgR.</v>
      </c>
    </row>
    <row r="33" spans="1:22">
      <c r="A33">
        <v>1</v>
      </c>
      <c r="B33" t="str">
        <f t="shared" si="0"/>
        <v>IEMM~028</v>
      </c>
      <c r="C33" t="str">
        <f t="shared" si="1"/>
        <v>C50-5.SLo.ReLo.NY.RgR.</v>
      </c>
      <c r="D33" t="str">
        <f t="shared" si="2"/>
        <v>C50-5.SLo.ReLo.NY.RgR.</v>
      </c>
      <c r="E33" t="str">
        <f t="shared" si="3"/>
        <v>C50-5.SLo.ReLo.NY.RgR.</v>
      </c>
      <c r="H33" t="str">
        <f t="shared" si="4"/>
        <v>C50-5.SLo.ReLo.NY.RgR.</v>
      </c>
      <c r="I33" t="s">
        <v>61</v>
      </c>
      <c r="J33" t="s">
        <v>52</v>
      </c>
      <c r="K33" t="s">
        <v>52</v>
      </c>
      <c r="L33" t="s">
        <v>18</v>
      </c>
      <c r="M33" t="s">
        <v>58</v>
      </c>
      <c r="N33" t="str">
        <f t="shared" si="5"/>
        <v>Lo-Lo</v>
      </c>
      <c r="O33" t="str">
        <f t="shared" si="6"/>
        <v>R-50-5</v>
      </c>
      <c r="Q33">
        <f t="shared" si="12"/>
        <v>28</v>
      </c>
      <c r="R33" t="str">
        <f t="shared" si="7"/>
        <v>C50-5.</v>
      </c>
      <c r="S33" t="str">
        <f t="shared" si="8"/>
        <v>SLo.</v>
      </c>
      <c r="T33" t="str">
        <f t="shared" si="9"/>
        <v>ReLo.</v>
      </c>
      <c r="U33" t="str">
        <f t="shared" si="10"/>
        <v>NY.</v>
      </c>
      <c r="V33" t="str">
        <f t="shared" si="11"/>
        <v>RgR.</v>
      </c>
    </row>
    <row r="34" spans="1:22">
      <c r="A34">
        <v>1</v>
      </c>
      <c r="B34" t="str">
        <f t="shared" si="0"/>
        <v>IEMM~029</v>
      </c>
      <c r="C34" t="str">
        <f t="shared" si="1"/>
        <v>C25-1.SLo.ReLo.NY.RgR.</v>
      </c>
      <c r="D34" t="str">
        <f t="shared" si="2"/>
        <v>C25-1.SLo.ReLo.NY.RgR.</v>
      </c>
      <c r="E34" t="str">
        <f t="shared" si="3"/>
        <v>C25-1.SLo.ReLo.NY.RgR.</v>
      </c>
      <c r="H34" t="str">
        <f t="shared" si="4"/>
        <v>C25-1.SLo.ReLo.NY.RgR.</v>
      </c>
      <c r="I34" t="s">
        <v>62</v>
      </c>
      <c r="J34" t="s">
        <v>52</v>
      </c>
      <c r="K34" t="s">
        <v>52</v>
      </c>
      <c r="L34" t="s">
        <v>18</v>
      </c>
      <c r="M34" t="s">
        <v>58</v>
      </c>
      <c r="N34" t="str">
        <f t="shared" si="5"/>
        <v>Lo-Lo</v>
      </c>
      <c r="O34" t="str">
        <f t="shared" si="6"/>
        <v>R-25-1</v>
      </c>
      <c r="Q34">
        <f t="shared" si="12"/>
        <v>29</v>
      </c>
      <c r="R34" t="str">
        <f t="shared" si="7"/>
        <v>C25-1.</v>
      </c>
      <c r="S34" t="str">
        <f t="shared" si="8"/>
        <v>SLo.</v>
      </c>
      <c r="T34" t="str">
        <f t="shared" si="9"/>
        <v>ReLo.</v>
      </c>
      <c r="U34" t="str">
        <f t="shared" si="10"/>
        <v>NY.</v>
      </c>
      <c r="V34" t="str">
        <f t="shared" si="11"/>
        <v>RgR.</v>
      </c>
    </row>
    <row r="35" spans="1:22">
      <c r="A35">
        <v>1</v>
      </c>
      <c r="B35" t="str">
        <f t="shared" si="0"/>
        <v>IEMM~030</v>
      </c>
      <c r="C35" t="str">
        <f t="shared" si="1"/>
        <v>C50-1.SLo.ReLo.NY.RgR.</v>
      </c>
      <c r="D35" t="str">
        <f t="shared" si="2"/>
        <v>C50-1.SLo.ReLo.NY.RgR.</v>
      </c>
      <c r="E35" t="str">
        <f t="shared" si="3"/>
        <v>C50-1.SLo.ReLo.NY.RgR.</v>
      </c>
      <c r="H35" t="str">
        <f t="shared" si="4"/>
        <v>C50-1.SLo.ReLo.NY.RgR.</v>
      </c>
      <c r="I35" t="s">
        <v>63</v>
      </c>
      <c r="J35" t="s">
        <v>52</v>
      </c>
      <c r="K35" t="s">
        <v>52</v>
      </c>
      <c r="L35" t="s">
        <v>18</v>
      </c>
      <c r="M35" t="s">
        <v>58</v>
      </c>
      <c r="N35" t="str">
        <f t="shared" si="5"/>
        <v>Lo-Lo</v>
      </c>
      <c r="O35" t="str">
        <f t="shared" si="6"/>
        <v>R-50-1</v>
      </c>
      <c r="Q35">
        <f t="shared" si="12"/>
        <v>30</v>
      </c>
      <c r="R35" t="str">
        <f t="shared" si="7"/>
        <v>C50-1.</v>
      </c>
      <c r="S35" t="str">
        <f t="shared" si="8"/>
        <v>SLo.</v>
      </c>
      <c r="T35" t="str">
        <f t="shared" si="9"/>
        <v>ReLo.</v>
      </c>
      <c r="U35" t="str">
        <f t="shared" si="10"/>
        <v>NY.</v>
      </c>
      <c r="V35" t="str">
        <f t="shared" si="11"/>
        <v>RgR.</v>
      </c>
    </row>
    <row r="36" spans="1:22">
      <c r="A36">
        <v>1</v>
      </c>
      <c r="B36" t="str">
        <f t="shared" si="0"/>
        <v>IEMM~031</v>
      </c>
      <c r="C36" t="str">
        <f t="shared" si="1"/>
        <v>CRef.SHi.ReLo.NY.RgR.</v>
      </c>
      <c r="D36" t="str">
        <f t="shared" si="2"/>
        <v>CRef.SHi.ReLo.NY.RgR.</v>
      </c>
      <c r="E36" t="str">
        <f t="shared" si="3"/>
        <v>CRef.SHi.ReLo.NY.RgR.</v>
      </c>
      <c r="H36" t="str">
        <f t="shared" si="4"/>
        <v>CRef.SHi.ReLo.NY.RgR.</v>
      </c>
      <c r="I36" t="s">
        <v>50</v>
      </c>
      <c r="J36" t="s">
        <v>51</v>
      </c>
      <c r="K36" t="s">
        <v>52</v>
      </c>
      <c r="L36" t="s">
        <v>18</v>
      </c>
      <c r="M36" t="s">
        <v>58</v>
      </c>
      <c r="N36" t="str">
        <f t="shared" si="5"/>
        <v>Lo-Hi</v>
      </c>
      <c r="O36" t="str">
        <f t="shared" si="6"/>
        <v>R-Ref</v>
      </c>
      <c r="Q36">
        <f t="shared" si="12"/>
        <v>31</v>
      </c>
      <c r="R36" t="str">
        <f t="shared" si="7"/>
        <v>CRef.</v>
      </c>
      <c r="S36" t="str">
        <f t="shared" si="8"/>
        <v>SHi.</v>
      </c>
      <c r="T36" t="str">
        <f t="shared" si="9"/>
        <v>ReLo.</v>
      </c>
      <c r="U36" t="str">
        <f t="shared" si="10"/>
        <v>NY.</v>
      </c>
      <c r="V36" t="str">
        <f t="shared" si="11"/>
        <v>RgR.</v>
      </c>
    </row>
    <row r="37" spans="1:22">
      <c r="A37">
        <v>1</v>
      </c>
      <c r="B37" t="str">
        <f t="shared" si="0"/>
        <v>IEMM~032</v>
      </c>
      <c r="C37" t="str">
        <f t="shared" si="1"/>
        <v>CCap.SHi.ReLo.NY.RgR.</v>
      </c>
      <c r="D37" t="str">
        <f t="shared" si="2"/>
        <v>CCap.SHi.ReLo.NY.RgR.</v>
      </c>
      <c r="E37" t="str">
        <f t="shared" si="3"/>
        <v>CCap.SHi.ReLo.NY.RgR.</v>
      </c>
      <c r="H37" t="str">
        <f t="shared" si="4"/>
        <v>CCap.SHi.ReLo.NY.RgR.</v>
      </c>
      <c r="I37" t="s">
        <v>59</v>
      </c>
      <c r="J37" t="s">
        <v>51</v>
      </c>
      <c r="K37" t="s">
        <v>52</v>
      </c>
      <c r="L37" t="s">
        <v>18</v>
      </c>
      <c r="M37" t="s">
        <v>58</v>
      </c>
      <c r="N37" t="str">
        <f t="shared" si="5"/>
        <v>Lo-Hi</v>
      </c>
      <c r="O37" t="str">
        <f t="shared" si="6"/>
        <v>R-Cap</v>
      </c>
      <c r="Q37">
        <f t="shared" si="12"/>
        <v>32</v>
      </c>
      <c r="R37" t="str">
        <f t="shared" si="7"/>
        <v>CCap.</v>
      </c>
      <c r="S37" t="str">
        <f t="shared" si="8"/>
        <v>SHi.</v>
      </c>
      <c r="T37" t="str">
        <f t="shared" si="9"/>
        <v>ReLo.</v>
      </c>
      <c r="U37" t="str">
        <f t="shared" si="10"/>
        <v>NY.</v>
      </c>
      <c r="V37" t="str">
        <f t="shared" si="11"/>
        <v>RgR.</v>
      </c>
    </row>
    <row r="38" spans="1:22">
      <c r="A38">
        <v>1</v>
      </c>
      <c r="B38" t="str">
        <f t="shared" si="0"/>
        <v>IEMM~033</v>
      </c>
      <c r="C38" t="str">
        <f t="shared" si="1"/>
        <v>C25-5.SHi.ReLo.NY.RgR.</v>
      </c>
      <c r="D38" t="str">
        <f t="shared" si="2"/>
        <v>C25-5.SHi.ReLo.NY.RgR.</v>
      </c>
      <c r="E38" t="str">
        <f t="shared" si="3"/>
        <v>C25-5.SHi.ReLo.NY.RgR.</v>
      </c>
      <c r="H38" t="str">
        <f t="shared" si="4"/>
        <v>C25-5.SHi.ReLo.NY.RgR.</v>
      </c>
      <c r="I38" t="s">
        <v>60</v>
      </c>
      <c r="J38" t="s">
        <v>51</v>
      </c>
      <c r="K38" t="s">
        <v>52</v>
      </c>
      <c r="L38" t="s">
        <v>18</v>
      </c>
      <c r="M38" t="s">
        <v>58</v>
      </c>
      <c r="N38" t="str">
        <f t="shared" si="5"/>
        <v>Lo-Hi</v>
      </c>
      <c r="O38" t="str">
        <f t="shared" si="6"/>
        <v>R-25-5</v>
      </c>
      <c r="Q38">
        <f t="shared" si="12"/>
        <v>33</v>
      </c>
      <c r="R38" t="str">
        <f t="shared" si="7"/>
        <v>C25-5.</v>
      </c>
      <c r="S38" t="str">
        <f t="shared" si="8"/>
        <v>SHi.</v>
      </c>
      <c r="T38" t="str">
        <f t="shared" si="9"/>
        <v>ReLo.</v>
      </c>
      <c r="U38" t="str">
        <f t="shared" si="10"/>
        <v>NY.</v>
      </c>
      <c r="V38" t="str">
        <f t="shared" si="11"/>
        <v>RgR.</v>
      </c>
    </row>
    <row r="39" spans="1:22">
      <c r="A39">
        <v>1</v>
      </c>
      <c r="B39" t="str">
        <f t="shared" si="0"/>
        <v>IEMM~034</v>
      </c>
      <c r="C39" t="str">
        <f t="shared" si="1"/>
        <v>C50-5.SHi.ReLo.NY.RgR.</v>
      </c>
      <c r="D39" t="str">
        <f t="shared" si="2"/>
        <v>C50-5.SHi.ReLo.NY.RgR.</v>
      </c>
      <c r="E39" t="str">
        <f t="shared" si="3"/>
        <v>C50-5.SHi.ReLo.NY.RgR.</v>
      </c>
      <c r="H39" t="str">
        <f t="shared" si="4"/>
        <v>C50-5.SHi.ReLo.NY.RgR.</v>
      </c>
      <c r="I39" t="s">
        <v>61</v>
      </c>
      <c r="J39" t="s">
        <v>51</v>
      </c>
      <c r="K39" t="s">
        <v>52</v>
      </c>
      <c r="L39" t="s">
        <v>18</v>
      </c>
      <c r="M39" t="s">
        <v>58</v>
      </c>
      <c r="N39" t="str">
        <f t="shared" si="5"/>
        <v>Lo-Hi</v>
      </c>
      <c r="O39" t="str">
        <f t="shared" si="6"/>
        <v>R-50-5</v>
      </c>
      <c r="Q39">
        <f t="shared" si="12"/>
        <v>34</v>
      </c>
      <c r="R39" t="str">
        <f t="shared" si="7"/>
        <v>C50-5.</v>
      </c>
      <c r="S39" t="str">
        <f t="shared" si="8"/>
        <v>SHi.</v>
      </c>
      <c r="T39" t="str">
        <f t="shared" si="9"/>
        <v>ReLo.</v>
      </c>
      <c r="U39" t="str">
        <f t="shared" si="10"/>
        <v>NY.</v>
      </c>
      <c r="V39" t="str">
        <f t="shared" si="11"/>
        <v>RgR.</v>
      </c>
    </row>
    <row r="40" spans="1:22">
      <c r="A40">
        <v>1</v>
      </c>
      <c r="B40" t="str">
        <f t="shared" si="0"/>
        <v>IEMM~035</v>
      </c>
      <c r="C40" t="str">
        <f t="shared" si="1"/>
        <v>C25-1.SHi.ReLo.NY.RgR.</v>
      </c>
      <c r="D40" t="str">
        <f t="shared" si="2"/>
        <v>C25-1.SHi.ReLo.NY.RgR.</v>
      </c>
      <c r="E40" t="str">
        <f t="shared" si="3"/>
        <v>C25-1.SHi.ReLo.NY.RgR.</v>
      </c>
      <c r="H40" t="str">
        <f t="shared" si="4"/>
        <v>C25-1.SHi.ReLo.NY.RgR.</v>
      </c>
      <c r="I40" t="s">
        <v>62</v>
      </c>
      <c r="J40" t="s">
        <v>51</v>
      </c>
      <c r="K40" t="s">
        <v>52</v>
      </c>
      <c r="L40" t="s">
        <v>18</v>
      </c>
      <c r="M40" t="s">
        <v>58</v>
      </c>
      <c r="N40" t="str">
        <f t="shared" si="5"/>
        <v>Lo-Hi</v>
      </c>
      <c r="O40" t="str">
        <f t="shared" si="6"/>
        <v>R-25-1</v>
      </c>
      <c r="Q40">
        <f t="shared" si="12"/>
        <v>35</v>
      </c>
      <c r="R40" t="str">
        <f t="shared" si="7"/>
        <v>C25-1.</v>
      </c>
      <c r="S40" t="str">
        <f t="shared" si="8"/>
        <v>SHi.</v>
      </c>
      <c r="T40" t="str">
        <f t="shared" si="9"/>
        <v>ReLo.</v>
      </c>
      <c r="U40" t="str">
        <f t="shared" si="10"/>
        <v>NY.</v>
      </c>
      <c r="V40" t="str">
        <f t="shared" si="11"/>
        <v>RgR.</v>
      </c>
    </row>
    <row r="41" spans="1:22">
      <c r="A41">
        <v>1</v>
      </c>
      <c r="B41" t="str">
        <f t="shared" si="0"/>
        <v>IEMM~036</v>
      </c>
      <c r="C41" t="str">
        <f t="shared" si="1"/>
        <v>C50-1.SHi.ReLo.NY.RgR.</v>
      </c>
      <c r="D41" t="str">
        <f t="shared" si="2"/>
        <v>C50-1.SHi.ReLo.NY.RgR.</v>
      </c>
      <c r="E41" t="str">
        <f t="shared" si="3"/>
        <v>C50-1.SHi.ReLo.NY.RgR.</v>
      </c>
      <c r="H41" t="str">
        <f t="shared" si="4"/>
        <v>C50-1.SHi.ReLo.NY.RgR.</v>
      </c>
      <c r="I41" t="s">
        <v>63</v>
      </c>
      <c r="J41" t="s">
        <v>51</v>
      </c>
      <c r="K41" t="s">
        <v>52</v>
      </c>
      <c r="L41" t="s">
        <v>18</v>
      </c>
      <c r="M41" t="s">
        <v>58</v>
      </c>
      <c r="N41" t="str">
        <f t="shared" si="5"/>
        <v>Lo-Hi</v>
      </c>
      <c r="O41" t="str">
        <f t="shared" si="6"/>
        <v>R-50-1</v>
      </c>
      <c r="Q41">
        <f t="shared" si="12"/>
        <v>36</v>
      </c>
      <c r="R41" t="str">
        <f t="shared" si="7"/>
        <v>C50-1.</v>
      </c>
      <c r="S41" t="str">
        <f t="shared" si="8"/>
        <v>SHi.</v>
      </c>
      <c r="T41" t="str">
        <f t="shared" si="9"/>
        <v>ReLo.</v>
      </c>
      <c r="U41" t="str">
        <f t="shared" si="10"/>
        <v>NY.</v>
      </c>
      <c r="V41" t="str">
        <f t="shared" si="11"/>
        <v>RgR.</v>
      </c>
    </row>
    <row r="42" spans="1:22">
      <c r="A42">
        <v>1</v>
      </c>
      <c r="B42" t="str">
        <f t="shared" si="0"/>
        <v>IEMM~037</v>
      </c>
      <c r="C42" t="str">
        <f t="shared" si="1"/>
        <v>CRef.SRef.ReRef.NN.RgR.</v>
      </c>
      <c r="D42" t="str">
        <f t="shared" si="2"/>
        <v>CRef.SRef.ReRef.NN.RgR.</v>
      </c>
      <c r="E42" t="str">
        <f t="shared" si="3"/>
        <v>CRef.SRef.ReRef.NN.RgR.</v>
      </c>
      <c r="H42" t="str">
        <f t="shared" si="4"/>
        <v>CRef.SRef.ReRef.NN.RgR.</v>
      </c>
      <c r="I42" t="s">
        <v>50</v>
      </c>
      <c r="J42" t="s">
        <v>50</v>
      </c>
      <c r="K42" t="s">
        <v>50</v>
      </c>
      <c r="L42" t="s">
        <v>11</v>
      </c>
      <c r="M42" t="s">
        <v>58</v>
      </c>
      <c r="N42" t="str">
        <f t="shared" si="5"/>
        <v>Ref-Ref</v>
      </c>
      <c r="O42" t="str">
        <f t="shared" si="6"/>
        <v>R-Ref</v>
      </c>
      <c r="Q42">
        <f t="shared" si="12"/>
        <v>37</v>
      </c>
      <c r="R42" t="str">
        <f t="shared" si="7"/>
        <v>CRef.</v>
      </c>
      <c r="S42" t="str">
        <f t="shared" si="8"/>
        <v>SRef.</v>
      </c>
      <c r="T42" t="str">
        <f t="shared" si="9"/>
        <v>ReRef.</v>
      </c>
      <c r="U42" t="str">
        <f t="shared" si="10"/>
        <v>NN.</v>
      </c>
      <c r="V42" t="str">
        <f t="shared" si="11"/>
        <v>RgR.</v>
      </c>
    </row>
    <row r="43" spans="1:22">
      <c r="A43">
        <v>1</v>
      </c>
      <c r="B43" t="str">
        <f t="shared" si="0"/>
        <v>IEMM~038</v>
      </c>
      <c r="C43" t="str">
        <f t="shared" si="1"/>
        <v>CCap.SRef.ReRef.NN.RgR.</v>
      </c>
      <c r="D43" t="str">
        <f t="shared" si="2"/>
        <v>CCap.SRef.ReRef.NN.RgR.</v>
      </c>
      <c r="E43" t="str">
        <f t="shared" si="3"/>
        <v>CCap.SRef.ReRef.NN.RgR.</v>
      </c>
      <c r="H43" t="str">
        <f t="shared" si="4"/>
        <v>CCap.SRef.ReRef.NN.RgR.</v>
      </c>
      <c r="I43" t="s">
        <v>59</v>
      </c>
      <c r="J43" t="s">
        <v>50</v>
      </c>
      <c r="K43" t="s">
        <v>50</v>
      </c>
      <c r="L43" t="s">
        <v>11</v>
      </c>
      <c r="M43" t="s">
        <v>58</v>
      </c>
      <c r="N43" t="str">
        <f t="shared" si="5"/>
        <v>Ref-Ref</v>
      </c>
      <c r="O43" t="str">
        <f t="shared" si="6"/>
        <v>R-Cap</v>
      </c>
      <c r="Q43">
        <f t="shared" si="12"/>
        <v>38</v>
      </c>
      <c r="R43" t="str">
        <f t="shared" si="7"/>
        <v>CCap.</v>
      </c>
      <c r="S43" t="str">
        <f t="shared" si="8"/>
        <v>SRef.</v>
      </c>
      <c r="T43" t="str">
        <f t="shared" si="9"/>
        <v>ReRef.</v>
      </c>
      <c r="U43" t="str">
        <f t="shared" si="10"/>
        <v>NN.</v>
      </c>
      <c r="V43" t="str">
        <f t="shared" si="11"/>
        <v>RgR.</v>
      </c>
    </row>
    <row r="44" spans="1:22">
      <c r="A44">
        <v>1</v>
      </c>
      <c r="B44" t="str">
        <f t="shared" si="0"/>
        <v>IEMM~039</v>
      </c>
      <c r="C44" t="str">
        <f t="shared" si="1"/>
        <v>C25-5.SRef.ReRef.NN.RgR.</v>
      </c>
      <c r="D44" t="str">
        <f t="shared" si="2"/>
        <v>C25-5.SRef.ReRef.NN.RgR.</v>
      </c>
      <c r="E44" t="str">
        <f t="shared" si="3"/>
        <v>C25-5.SRef.ReRef.NN.RgR.</v>
      </c>
      <c r="H44" t="str">
        <f t="shared" si="4"/>
        <v>C25-5.SRef.ReRef.NN.RgR.</v>
      </c>
      <c r="I44" t="s">
        <v>60</v>
      </c>
      <c r="J44" t="s">
        <v>50</v>
      </c>
      <c r="K44" t="s">
        <v>50</v>
      </c>
      <c r="L44" t="s">
        <v>11</v>
      </c>
      <c r="M44" t="s">
        <v>58</v>
      </c>
      <c r="N44" t="str">
        <f t="shared" si="5"/>
        <v>Ref-Ref</v>
      </c>
      <c r="O44" t="str">
        <f t="shared" si="6"/>
        <v>R-25-5</v>
      </c>
      <c r="Q44">
        <f t="shared" si="12"/>
        <v>39</v>
      </c>
      <c r="R44" t="str">
        <f t="shared" si="7"/>
        <v>C25-5.</v>
      </c>
      <c r="S44" t="str">
        <f t="shared" si="8"/>
        <v>SRef.</v>
      </c>
      <c r="T44" t="str">
        <f t="shared" si="9"/>
        <v>ReRef.</v>
      </c>
      <c r="U44" t="str">
        <f t="shared" si="10"/>
        <v>NN.</v>
      </c>
      <c r="V44" t="str">
        <f t="shared" si="11"/>
        <v>RgR.</v>
      </c>
    </row>
    <row r="45" spans="1:22">
      <c r="A45">
        <v>1</v>
      </c>
      <c r="B45" t="str">
        <f t="shared" si="0"/>
        <v>IEMM~040</v>
      </c>
      <c r="C45" t="str">
        <f t="shared" si="1"/>
        <v>C50-5.SRef.ReRef.NN.RgR.</v>
      </c>
      <c r="D45" t="str">
        <f t="shared" si="2"/>
        <v>C50-5.SRef.ReRef.NN.RgR.</v>
      </c>
      <c r="E45" t="str">
        <f t="shared" si="3"/>
        <v>C50-5.SRef.ReRef.NN.RgR.</v>
      </c>
      <c r="H45" t="str">
        <f t="shared" si="4"/>
        <v>C50-5.SRef.ReRef.NN.RgR.</v>
      </c>
      <c r="I45" t="s">
        <v>61</v>
      </c>
      <c r="J45" t="s">
        <v>50</v>
      </c>
      <c r="K45" t="s">
        <v>50</v>
      </c>
      <c r="L45" t="s">
        <v>11</v>
      </c>
      <c r="M45" t="s">
        <v>58</v>
      </c>
      <c r="N45" t="str">
        <f t="shared" si="5"/>
        <v>Ref-Ref</v>
      </c>
      <c r="O45" t="str">
        <f t="shared" si="6"/>
        <v>R-50-5</v>
      </c>
      <c r="Q45">
        <f t="shared" si="12"/>
        <v>40</v>
      </c>
      <c r="R45" t="str">
        <f t="shared" si="7"/>
        <v>C50-5.</v>
      </c>
      <c r="S45" t="str">
        <f t="shared" si="8"/>
        <v>SRef.</v>
      </c>
      <c r="T45" t="str">
        <f t="shared" si="9"/>
        <v>ReRef.</v>
      </c>
      <c r="U45" t="str">
        <f t="shared" si="10"/>
        <v>NN.</v>
      </c>
      <c r="V45" t="str">
        <f t="shared" si="11"/>
        <v>RgR.</v>
      </c>
    </row>
    <row r="46" spans="1:22">
      <c r="A46">
        <v>1</v>
      </c>
      <c r="B46" t="str">
        <f t="shared" si="0"/>
        <v>IEMM~041</v>
      </c>
      <c r="C46" t="str">
        <f t="shared" si="1"/>
        <v>C25-1.SRef.ReRef.NN.RgR.</v>
      </c>
      <c r="D46" t="str">
        <f t="shared" si="2"/>
        <v>C25-1.SRef.ReRef.NN.RgR.</v>
      </c>
      <c r="E46" t="str">
        <f t="shared" si="3"/>
        <v>C25-1.SRef.ReRef.NN.RgR.</v>
      </c>
      <c r="H46" t="str">
        <f t="shared" si="4"/>
        <v>C25-1.SRef.ReRef.NN.RgR.</v>
      </c>
      <c r="I46" t="s">
        <v>62</v>
      </c>
      <c r="J46" t="s">
        <v>50</v>
      </c>
      <c r="K46" t="s">
        <v>50</v>
      </c>
      <c r="L46" t="s">
        <v>11</v>
      </c>
      <c r="M46" t="s">
        <v>58</v>
      </c>
      <c r="N46" t="str">
        <f t="shared" si="5"/>
        <v>Ref-Ref</v>
      </c>
      <c r="O46" t="str">
        <f t="shared" si="6"/>
        <v>R-25-1</v>
      </c>
      <c r="Q46">
        <f t="shared" si="12"/>
        <v>41</v>
      </c>
      <c r="R46" t="str">
        <f t="shared" si="7"/>
        <v>C25-1.</v>
      </c>
      <c r="S46" t="str">
        <f t="shared" si="8"/>
        <v>SRef.</v>
      </c>
      <c r="T46" t="str">
        <f t="shared" si="9"/>
        <v>ReRef.</v>
      </c>
      <c r="U46" t="str">
        <f t="shared" si="10"/>
        <v>NN.</v>
      </c>
      <c r="V46" t="str">
        <f t="shared" si="11"/>
        <v>RgR.</v>
      </c>
    </row>
    <row r="47" spans="1:22">
      <c r="A47">
        <v>1</v>
      </c>
      <c r="B47" t="str">
        <f t="shared" si="0"/>
        <v>IEMM~042</v>
      </c>
      <c r="C47" t="str">
        <f t="shared" si="1"/>
        <v>C50-1.SRef.ReRef.NN.RgR.</v>
      </c>
      <c r="D47" t="str">
        <f t="shared" si="2"/>
        <v>C50-1.SRef.ReRef.NN.RgR.</v>
      </c>
      <c r="E47" t="str">
        <f t="shared" si="3"/>
        <v>C50-1.SRef.ReRef.NN.RgR.</v>
      </c>
      <c r="H47" t="str">
        <f t="shared" si="4"/>
        <v>C50-1.SRef.ReRef.NN.RgR.</v>
      </c>
      <c r="I47" t="s">
        <v>63</v>
      </c>
      <c r="J47" t="s">
        <v>50</v>
      </c>
      <c r="K47" t="s">
        <v>50</v>
      </c>
      <c r="L47" t="s">
        <v>11</v>
      </c>
      <c r="M47" t="s">
        <v>58</v>
      </c>
      <c r="N47" t="str">
        <f t="shared" si="5"/>
        <v>Ref-Ref</v>
      </c>
      <c r="O47" t="str">
        <f t="shared" si="6"/>
        <v>R-50-1</v>
      </c>
      <c r="Q47">
        <f t="shared" si="12"/>
        <v>42</v>
      </c>
      <c r="R47" t="str">
        <f t="shared" si="7"/>
        <v>C50-1.</v>
      </c>
      <c r="S47" t="str">
        <f t="shared" si="8"/>
        <v>SRef.</v>
      </c>
      <c r="T47" t="str">
        <f t="shared" si="9"/>
        <v>ReRef.</v>
      </c>
      <c r="U47" t="str">
        <f t="shared" si="10"/>
        <v>NN.</v>
      </c>
      <c r="V47" t="str">
        <f t="shared" si="11"/>
        <v>RgR.</v>
      </c>
    </row>
    <row r="48" spans="1:22">
      <c r="A48">
        <v>1</v>
      </c>
      <c r="B48" t="str">
        <f t="shared" si="0"/>
        <v>IEMM~043</v>
      </c>
      <c r="C48" t="str">
        <f t="shared" si="1"/>
        <v>CRef.SLo.ReRef.NN.RgR.</v>
      </c>
      <c r="D48" t="str">
        <f t="shared" si="2"/>
        <v>CRef.SLo.ReRef.NN.RgR.</v>
      </c>
      <c r="E48" t="str">
        <f t="shared" si="3"/>
        <v>CRef.SLo.ReRef.NN.RgR.</v>
      </c>
      <c r="H48" t="str">
        <f t="shared" si="4"/>
        <v>CRef.SLo.ReRef.NN.RgR.</v>
      </c>
      <c r="I48" t="s">
        <v>50</v>
      </c>
      <c r="J48" t="s">
        <v>52</v>
      </c>
      <c r="K48" t="s">
        <v>50</v>
      </c>
      <c r="L48" t="s">
        <v>11</v>
      </c>
      <c r="M48" t="s">
        <v>58</v>
      </c>
      <c r="N48" t="str">
        <f t="shared" si="5"/>
        <v>Ref-Lo</v>
      </c>
      <c r="O48" t="str">
        <f t="shared" si="6"/>
        <v>R-Ref</v>
      </c>
      <c r="Q48">
        <f t="shared" si="12"/>
        <v>43</v>
      </c>
      <c r="R48" t="str">
        <f t="shared" si="7"/>
        <v>CRef.</v>
      </c>
      <c r="S48" t="str">
        <f t="shared" si="8"/>
        <v>SLo.</v>
      </c>
      <c r="T48" t="str">
        <f t="shared" si="9"/>
        <v>ReRef.</v>
      </c>
      <c r="U48" t="str">
        <f t="shared" si="10"/>
        <v>NN.</v>
      </c>
      <c r="V48" t="str">
        <f t="shared" si="11"/>
        <v>RgR.</v>
      </c>
    </row>
    <row r="49" spans="1:22">
      <c r="A49">
        <v>1</v>
      </c>
      <c r="B49" t="str">
        <f t="shared" si="0"/>
        <v>IEMM~044</v>
      </c>
      <c r="C49" t="str">
        <f t="shared" si="1"/>
        <v>CCap.SLo.ReRef.NN.RgR.</v>
      </c>
      <c r="D49" t="str">
        <f t="shared" si="2"/>
        <v>CCap.SLo.ReRef.NN.RgR.</v>
      </c>
      <c r="E49" t="str">
        <f t="shared" si="3"/>
        <v>CCap.SLo.ReRef.NN.RgR.</v>
      </c>
      <c r="H49" t="str">
        <f t="shared" si="4"/>
        <v>CCap.SLo.ReRef.NN.RgR.</v>
      </c>
      <c r="I49" t="s">
        <v>59</v>
      </c>
      <c r="J49" t="s">
        <v>52</v>
      </c>
      <c r="K49" t="s">
        <v>50</v>
      </c>
      <c r="L49" t="s">
        <v>11</v>
      </c>
      <c r="M49" t="s">
        <v>58</v>
      </c>
      <c r="N49" t="str">
        <f t="shared" si="5"/>
        <v>Ref-Lo</v>
      </c>
      <c r="O49" t="str">
        <f t="shared" si="6"/>
        <v>R-Cap</v>
      </c>
      <c r="Q49">
        <f t="shared" si="12"/>
        <v>44</v>
      </c>
      <c r="R49" t="str">
        <f t="shared" si="7"/>
        <v>CCap.</v>
      </c>
      <c r="S49" t="str">
        <f t="shared" si="8"/>
        <v>SLo.</v>
      </c>
      <c r="T49" t="str">
        <f t="shared" si="9"/>
        <v>ReRef.</v>
      </c>
      <c r="U49" t="str">
        <f t="shared" si="10"/>
        <v>NN.</v>
      </c>
      <c r="V49" t="str">
        <f t="shared" si="11"/>
        <v>RgR.</v>
      </c>
    </row>
    <row r="50" spans="1:22">
      <c r="A50">
        <v>1</v>
      </c>
      <c r="B50" t="str">
        <f t="shared" si="0"/>
        <v>IEMM~045</v>
      </c>
      <c r="C50" t="str">
        <f t="shared" si="1"/>
        <v>C25-5.SLo.ReRef.NN.RgR.</v>
      </c>
      <c r="D50" t="str">
        <f t="shared" si="2"/>
        <v>C25-5.SLo.ReRef.NN.RgR.</v>
      </c>
      <c r="E50" t="str">
        <f t="shared" si="3"/>
        <v>C25-5.SLo.ReRef.NN.RgR.</v>
      </c>
      <c r="H50" t="str">
        <f t="shared" si="4"/>
        <v>C25-5.SLo.ReRef.NN.RgR.</v>
      </c>
      <c r="I50" t="s">
        <v>60</v>
      </c>
      <c r="J50" t="s">
        <v>52</v>
      </c>
      <c r="K50" t="s">
        <v>50</v>
      </c>
      <c r="L50" t="s">
        <v>11</v>
      </c>
      <c r="M50" t="s">
        <v>58</v>
      </c>
      <c r="N50" t="str">
        <f t="shared" si="5"/>
        <v>Ref-Lo</v>
      </c>
      <c r="O50" t="str">
        <f t="shared" si="6"/>
        <v>R-25-5</v>
      </c>
      <c r="Q50">
        <f t="shared" si="12"/>
        <v>45</v>
      </c>
      <c r="R50" t="str">
        <f t="shared" si="7"/>
        <v>C25-5.</v>
      </c>
      <c r="S50" t="str">
        <f t="shared" si="8"/>
        <v>SLo.</v>
      </c>
      <c r="T50" t="str">
        <f t="shared" si="9"/>
        <v>ReRef.</v>
      </c>
      <c r="U50" t="str">
        <f t="shared" si="10"/>
        <v>NN.</v>
      </c>
      <c r="V50" t="str">
        <f t="shared" si="11"/>
        <v>RgR.</v>
      </c>
    </row>
    <row r="51" spans="1:22">
      <c r="A51">
        <v>1</v>
      </c>
      <c r="B51" t="str">
        <f t="shared" si="0"/>
        <v>IEMM~046</v>
      </c>
      <c r="C51" t="str">
        <f t="shared" si="1"/>
        <v>C50-5.SLo.ReRef.NN.RgR.</v>
      </c>
      <c r="D51" t="str">
        <f t="shared" si="2"/>
        <v>C50-5.SLo.ReRef.NN.RgR.</v>
      </c>
      <c r="E51" t="str">
        <f t="shared" si="3"/>
        <v>C50-5.SLo.ReRef.NN.RgR.</v>
      </c>
      <c r="H51" t="str">
        <f t="shared" si="4"/>
        <v>C50-5.SLo.ReRef.NN.RgR.</v>
      </c>
      <c r="I51" t="s">
        <v>61</v>
      </c>
      <c r="J51" t="s">
        <v>52</v>
      </c>
      <c r="K51" t="s">
        <v>50</v>
      </c>
      <c r="L51" t="s">
        <v>11</v>
      </c>
      <c r="M51" t="s">
        <v>58</v>
      </c>
      <c r="N51" t="str">
        <f t="shared" si="5"/>
        <v>Ref-Lo</v>
      </c>
      <c r="O51" t="str">
        <f t="shared" si="6"/>
        <v>R-50-5</v>
      </c>
      <c r="Q51">
        <f t="shared" si="12"/>
        <v>46</v>
      </c>
      <c r="R51" t="str">
        <f t="shared" si="7"/>
        <v>C50-5.</v>
      </c>
      <c r="S51" t="str">
        <f t="shared" si="8"/>
        <v>SLo.</v>
      </c>
      <c r="T51" t="str">
        <f t="shared" si="9"/>
        <v>ReRef.</v>
      </c>
      <c r="U51" t="str">
        <f t="shared" si="10"/>
        <v>NN.</v>
      </c>
      <c r="V51" t="str">
        <f t="shared" si="11"/>
        <v>RgR.</v>
      </c>
    </row>
    <row r="52" spans="1:22">
      <c r="A52">
        <v>1</v>
      </c>
      <c r="B52" t="str">
        <f t="shared" si="0"/>
        <v>IEMM~047</v>
      </c>
      <c r="C52" t="str">
        <f t="shared" si="1"/>
        <v>C25-1.SLo.ReRef.NN.RgR.</v>
      </c>
      <c r="D52" t="str">
        <f t="shared" si="2"/>
        <v>C25-1.SLo.ReRef.NN.RgR.</v>
      </c>
      <c r="E52" t="str">
        <f t="shared" si="3"/>
        <v>C25-1.SLo.ReRef.NN.RgR.</v>
      </c>
      <c r="H52" t="str">
        <f t="shared" si="4"/>
        <v>C25-1.SLo.ReRef.NN.RgR.</v>
      </c>
      <c r="I52" t="s">
        <v>62</v>
      </c>
      <c r="J52" t="s">
        <v>52</v>
      </c>
      <c r="K52" t="s">
        <v>50</v>
      </c>
      <c r="L52" t="s">
        <v>11</v>
      </c>
      <c r="M52" t="s">
        <v>58</v>
      </c>
      <c r="N52" t="str">
        <f t="shared" si="5"/>
        <v>Ref-Lo</v>
      </c>
      <c r="O52" t="str">
        <f t="shared" si="6"/>
        <v>R-25-1</v>
      </c>
      <c r="Q52">
        <f t="shared" si="12"/>
        <v>47</v>
      </c>
      <c r="R52" t="str">
        <f t="shared" si="7"/>
        <v>C25-1.</v>
      </c>
      <c r="S52" t="str">
        <f t="shared" si="8"/>
        <v>SLo.</v>
      </c>
      <c r="T52" t="str">
        <f t="shared" si="9"/>
        <v>ReRef.</v>
      </c>
      <c r="U52" t="str">
        <f t="shared" si="10"/>
        <v>NN.</v>
      </c>
      <c r="V52" t="str">
        <f t="shared" si="11"/>
        <v>RgR.</v>
      </c>
    </row>
    <row r="53" spans="1:22">
      <c r="A53">
        <v>1</v>
      </c>
      <c r="B53" t="str">
        <f t="shared" si="0"/>
        <v>IEMM~048</v>
      </c>
      <c r="C53" t="str">
        <f t="shared" si="1"/>
        <v>C50-1.SLo.ReRef.NN.RgR.</v>
      </c>
      <c r="D53" t="str">
        <f t="shared" si="2"/>
        <v>C50-1.SLo.ReRef.NN.RgR.</v>
      </c>
      <c r="E53" t="str">
        <f t="shared" si="3"/>
        <v>C50-1.SLo.ReRef.NN.RgR.</v>
      </c>
      <c r="H53" t="str">
        <f t="shared" si="4"/>
        <v>C50-1.SLo.ReRef.NN.RgR.</v>
      </c>
      <c r="I53" t="s">
        <v>63</v>
      </c>
      <c r="J53" t="s">
        <v>52</v>
      </c>
      <c r="K53" t="s">
        <v>50</v>
      </c>
      <c r="L53" t="s">
        <v>11</v>
      </c>
      <c r="M53" t="s">
        <v>58</v>
      </c>
      <c r="N53" t="str">
        <f t="shared" si="5"/>
        <v>Ref-Lo</v>
      </c>
      <c r="O53" t="str">
        <f t="shared" si="6"/>
        <v>R-50-1</v>
      </c>
      <c r="Q53">
        <f t="shared" si="12"/>
        <v>48</v>
      </c>
      <c r="R53" t="str">
        <f t="shared" si="7"/>
        <v>C50-1.</v>
      </c>
      <c r="S53" t="str">
        <f t="shared" si="8"/>
        <v>SLo.</v>
      </c>
      <c r="T53" t="str">
        <f t="shared" si="9"/>
        <v>ReRef.</v>
      </c>
      <c r="U53" t="str">
        <f t="shared" si="10"/>
        <v>NN.</v>
      </c>
      <c r="V53" t="str">
        <f t="shared" si="11"/>
        <v>RgR.</v>
      </c>
    </row>
    <row r="54" spans="1:22">
      <c r="A54">
        <v>1</v>
      </c>
      <c r="B54" t="str">
        <f t="shared" si="0"/>
        <v>IEMM~049</v>
      </c>
      <c r="C54" t="str">
        <f t="shared" si="1"/>
        <v>CRef.SHi.ReRef.NN.RgR.</v>
      </c>
      <c r="D54" t="str">
        <f t="shared" si="2"/>
        <v>CRef.SHi.ReRef.NN.RgR.</v>
      </c>
      <c r="E54" t="str">
        <f t="shared" si="3"/>
        <v>CRef.SHi.ReRef.NN.RgR.</v>
      </c>
      <c r="H54" t="str">
        <f t="shared" si="4"/>
        <v>CRef.SHi.ReRef.NN.RgR.</v>
      </c>
      <c r="I54" t="s">
        <v>50</v>
      </c>
      <c r="J54" t="s">
        <v>51</v>
      </c>
      <c r="K54" t="s">
        <v>50</v>
      </c>
      <c r="L54" t="s">
        <v>11</v>
      </c>
      <c r="M54" t="s">
        <v>58</v>
      </c>
      <c r="N54" t="str">
        <f t="shared" si="5"/>
        <v>Ref-Hi</v>
      </c>
      <c r="O54" t="str">
        <f t="shared" si="6"/>
        <v>R-Ref</v>
      </c>
      <c r="Q54">
        <f t="shared" si="12"/>
        <v>49</v>
      </c>
      <c r="R54" t="str">
        <f t="shared" si="7"/>
        <v>CRef.</v>
      </c>
      <c r="S54" t="str">
        <f t="shared" si="8"/>
        <v>SHi.</v>
      </c>
      <c r="T54" t="str">
        <f t="shared" si="9"/>
        <v>ReRef.</v>
      </c>
      <c r="U54" t="str">
        <f t="shared" si="10"/>
        <v>NN.</v>
      </c>
      <c r="V54" t="str">
        <f t="shared" si="11"/>
        <v>RgR.</v>
      </c>
    </row>
    <row r="55" spans="1:22">
      <c r="A55">
        <v>1</v>
      </c>
      <c r="B55" t="str">
        <f t="shared" si="0"/>
        <v>IEMM~050</v>
      </c>
      <c r="C55" t="str">
        <f t="shared" si="1"/>
        <v>CCap.SHi.ReRef.NN.RgR.</v>
      </c>
      <c r="D55" t="str">
        <f t="shared" si="2"/>
        <v>CCap.SHi.ReRef.NN.RgR.</v>
      </c>
      <c r="E55" t="str">
        <f t="shared" si="3"/>
        <v>CCap.SHi.ReRef.NN.RgR.</v>
      </c>
      <c r="H55" t="str">
        <f t="shared" si="4"/>
        <v>CCap.SHi.ReRef.NN.RgR.</v>
      </c>
      <c r="I55" t="s">
        <v>59</v>
      </c>
      <c r="J55" t="s">
        <v>51</v>
      </c>
      <c r="K55" t="s">
        <v>50</v>
      </c>
      <c r="L55" t="s">
        <v>11</v>
      </c>
      <c r="M55" t="s">
        <v>58</v>
      </c>
      <c r="N55" t="str">
        <f t="shared" si="5"/>
        <v>Ref-Hi</v>
      </c>
      <c r="O55" t="str">
        <f t="shared" si="6"/>
        <v>R-Cap</v>
      </c>
      <c r="Q55">
        <f t="shared" si="12"/>
        <v>50</v>
      </c>
      <c r="R55" t="str">
        <f t="shared" si="7"/>
        <v>CCap.</v>
      </c>
      <c r="S55" t="str">
        <f t="shared" si="8"/>
        <v>SHi.</v>
      </c>
      <c r="T55" t="str">
        <f t="shared" si="9"/>
        <v>ReRef.</v>
      </c>
      <c r="U55" t="str">
        <f t="shared" si="10"/>
        <v>NN.</v>
      </c>
      <c r="V55" t="str">
        <f t="shared" si="11"/>
        <v>RgR.</v>
      </c>
    </row>
    <row r="56" spans="1:22">
      <c r="A56">
        <v>1</v>
      </c>
      <c r="B56" t="str">
        <f t="shared" si="0"/>
        <v>IEMM~051</v>
      </c>
      <c r="C56" t="str">
        <f t="shared" si="1"/>
        <v>C25-5.SHi.ReRef.NN.RgR.</v>
      </c>
      <c r="D56" t="str">
        <f t="shared" si="2"/>
        <v>C25-5.SHi.ReRef.NN.RgR.</v>
      </c>
      <c r="E56" t="str">
        <f t="shared" si="3"/>
        <v>C25-5.SHi.ReRef.NN.RgR.</v>
      </c>
      <c r="H56" t="str">
        <f t="shared" si="4"/>
        <v>C25-5.SHi.ReRef.NN.RgR.</v>
      </c>
      <c r="I56" t="s">
        <v>60</v>
      </c>
      <c r="J56" t="s">
        <v>51</v>
      </c>
      <c r="K56" t="s">
        <v>50</v>
      </c>
      <c r="L56" t="s">
        <v>11</v>
      </c>
      <c r="M56" t="s">
        <v>58</v>
      </c>
      <c r="N56" t="str">
        <f t="shared" si="5"/>
        <v>Ref-Hi</v>
      </c>
      <c r="O56" t="str">
        <f t="shared" si="6"/>
        <v>R-25-5</v>
      </c>
      <c r="Q56">
        <f t="shared" si="12"/>
        <v>51</v>
      </c>
      <c r="R56" t="str">
        <f t="shared" si="7"/>
        <v>C25-5.</v>
      </c>
      <c r="S56" t="str">
        <f t="shared" si="8"/>
        <v>SHi.</v>
      </c>
      <c r="T56" t="str">
        <f t="shared" si="9"/>
        <v>ReRef.</v>
      </c>
      <c r="U56" t="str">
        <f t="shared" si="10"/>
        <v>NN.</v>
      </c>
      <c r="V56" t="str">
        <f t="shared" si="11"/>
        <v>RgR.</v>
      </c>
    </row>
    <row r="57" spans="1:22">
      <c r="A57">
        <v>1</v>
      </c>
      <c r="B57" t="str">
        <f t="shared" si="0"/>
        <v>IEMM~052</v>
      </c>
      <c r="C57" t="str">
        <f t="shared" si="1"/>
        <v>C50-5.SHi.ReRef.NN.RgR.</v>
      </c>
      <c r="D57" t="str">
        <f t="shared" si="2"/>
        <v>C50-5.SHi.ReRef.NN.RgR.</v>
      </c>
      <c r="E57" t="str">
        <f t="shared" si="3"/>
        <v>C50-5.SHi.ReRef.NN.RgR.</v>
      </c>
      <c r="H57" t="str">
        <f t="shared" si="4"/>
        <v>C50-5.SHi.ReRef.NN.RgR.</v>
      </c>
      <c r="I57" t="s">
        <v>61</v>
      </c>
      <c r="J57" t="s">
        <v>51</v>
      </c>
      <c r="K57" t="s">
        <v>50</v>
      </c>
      <c r="L57" t="s">
        <v>11</v>
      </c>
      <c r="M57" t="s">
        <v>58</v>
      </c>
      <c r="N57" t="str">
        <f t="shared" si="5"/>
        <v>Ref-Hi</v>
      </c>
      <c r="O57" t="str">
        <f t="shared" si="6"/>
        <v>R-50-5</v>
      </c>
      <c r="Q57">
        <f t="shared" si="12"/>
        <v>52</v>
      </c>
      <c r="R57" t="str">
        <f t="shared" si="7"/>
        <v>C50-5.</v>
      </c>
      <c r="S57" t="str">
        <f t="shared" si="8"/>
        <v>SHi.</v>
      </c>
      <c r="T57" t="str">
        <f t="shared" si="9"/>
        <v>ReRef.</v>
      </c>
      <c r="U57" t="str">
        <f t="shared" si="10"/>
        <v>NN.</v>
      </c>
      <c r="V57" t="str">
        <f t="shared" si="11"/>
        <v>RgR.</v>
      </c>
    </row>
    <row r="58" spans="1:22">
      <c r="A58">
        <v>1</v>
      </c>
      <c r="B58" t="str">
        <f t="shared" si="0"/>
        <v>IEMM~053</v>
      </c>
      <c r="C58" t="str">
        <f t="shared" si="1"/>
        <v>C25-1.SHi.ReRef.NN.RgR.</v>
      </c>
      <c r="D58" t="str">
        <f t="shared" si="2"/>
        <v>C25-1.SHi.ReRef.NN.RgR.</v>
      </c>
      <c r="E58" t="str">
        <f t="shared" si="3"/>
        <v>C25-1.SHi.ReRef.NN.RgR.</v>
      </c>
      <c r="H58" t="str">
        <f t="shared" si="4"/>
        <v>C25-1.SHi.ReRef.NN.RgR.</v>
      </c>
      <c r="I58" t="s">
        <v>62</v>
      </c>
      <c r="J58" t="s">
        <v>51</v>
      </c>
      <c r="K58" t="s">
        <v>50</v>
      </c>
      <c r="L58" t="s">
        <v>11</v>
      </c>
      <c r="M58" t="s">
        <v>58</v>
      </c>
      <c r="N58" t="str">
        <f t="shared" si="5"/>
        <v>Ref-Hi</v>
      </c>
      <c r="O58" t="str">
        <f t="shared" si="6"/>
        <v>R-25-1</v>
      </c>
      <c r="Q58">
        <f t="shared" si="12"/>
        <v>53</v>
      </c>
      <c r="R58" t="str">
        <f t="shared" si="7"/>
        <v>C25-1.</v>
      </c>
      <c r="S58" t="str">
        <f t="shared" si="8"/>
        <v>SHi.</v>
      </c>
      <c r="T58" t="str">
        <f t="shared" si="9"/>
        <v>ReRef.</v>
      </c>
      <c r="U58" t="str">
        <f t="shared" si="10"/>
        <v>NN.</v>
      </c>
      <c r="V58" t="str">
        <f t="shared" si="11"/>
        <v>RgR.</v>
      </c>
    </row>
    <row r="59" spans="1:22">
      <c r="A59">
        <v>1</v>
      </c>
      <c r="B59" t="str">
        <f t="shared" si="0"/>
        <v>IEMM~054</v>
      </c>
      <c r="C59" t="str">
        <f t="shared" si="1"/>
        <v>C50-1.SHi.ReRef.NN.RgR.</v>
      </c>
      <c r="D59" t="str">
        <f t="shared" si="2"/>
        <v>C50-1.SHi.ReRef.NN.RgR.</v>
      </c>
      <c r="E59" t="str">
        <f t="shared" si="3"/>
        <v>C50-1.SHi.ReRef.NN.RgR.</v>
      </c>
      <c r="H59" t="str">
        <f t="shared" si="4"/>
        <v>C50-1.SHi.ReRef.NN.RgR.</v>
      </c>
      <c r="I59" t="s">
        <v>63</v>
      </c>
      <c r="J59" t="s">
        <v>51</v>
      </c>
      <c r="K59" t="s">
        <v>50</v>
      </c>
      <c r="L59" t="s">
        <v>11</v>
      </c>
      <c r="M59" t="s">
        <v>58</v>
      </c>
      <c r="N59" t="str">
        <f t="shared" si="5"/>
        <v>Ref-Hi</v>
      </c>
      <c r="O59" t="str">
        <f t="shared" si="6"/>
        <v>R-50-1</v>
      </c>
      <c r="Q59">
        <f t="shared" si="12"/>
        <v>54</v>
      </c>
      <c r="R59" t="str">
        <f t="shared" si="7"/>
        <v>C50-1.</v>
      </c>
      <c r="S59" t="str">
        <f t="shared" si="8"/>
        <v>SHi.</v>
      </c>
      <c r="T59" t="str">
        <f t="shared" si="9"/>
        <v>ReRef.</v>
      </c>
      <c r="U59" t="str">
        <f t="shared" si="10"/>
        <v>NN.</v>
      </c>
      <c r="V59" t="str">
        <f t="shared" si="11"/>
        <v>RgR.</v>
      </c>
    </row>
    <row r="60" spans="1:22">
      <c r="A60">
        <v>1</v>
      </c>
      <c r="B60" t="str">
        <f t="shared" si="0"/>
        <v>IEMM~055</v>
      </c>
      <c r="C60" t="str">
        <f t="shared" si="1"/>
        <v>CRef.SRef.ReLo.NN.RgR.</v>
      </c>
      <c r="D60" t="str">
        <f t="shared" si="2"/>
        <v>CRef.SRef.ReLo.NN.RgR.</v>
      </c>
      <c r="E60" t="str">
        <f t="shared" si="3"/>
        <v>CRef.SRef.ReLo.NN.RgR.</v>
      </c>
      <c r="H60" t="str">
        <f t="shared" si="4"/>
        <v>CRef.SRef.ReLo.NN.RgR.</v>
      </c>
      <c r="I60" t="s">
        <v>50</v>
      </c>
      <c r="J60" t="s">
        <v>50</v>
      </c>
      <c r="K60" t="s">
        <v>52</v>
      </c>
      <c r="L60" t="s">
        <v>11</v>
      </c>
      <c r="M60" t="s">
        <v>58</v>
      </c>
      <c r="N60" t="str">
        <f t="shared" si="5"/>
        <v>Lo-Ref</v>
      </c>
      <c r="O60" t="str">
        <f t="shared" si="6"/>
        <v>R-Ref</v>
      </c>
      <c r="Q60">
        <f t="shared" si="12"/>
        <v>55</v>
      </c>
      <c r="R60" t="str">
        <f t="shared" si="7"/>
        <v>CRef.</v>
      </c>
      <c r="S60" t="str">
        <f t="shared" si="8"/>
        <v>SRef.</v>
      </c>
      <c r="T60" t="str">
        <f t="shared" si="9"/>
        <v>ReLo.</v>
      </c>
      <c r="U60" t="str">
        <f t="shared" si="10"/>
        <v>NN.</v>
      </c>
      <c r="V60" t="str">
        <f t="shared" si="11"/>
        <v>RgR.</v>
      </c>
    </row>
    <row r="61" spans="1:22">
      <c r="A61">
        <v>1</v>
      </c>
      <c r="B61" t="str">
        <f t="shared" si="0"/>
        <v>IEMM~056</v>
      </c>
      <c r="C61" t="str">
        <f t="shared" si="1"/>
        <v>CCap.SRef.ReLo.NN.RgR.</v>
      </c>
      <c r="D61" t="str">
        <f t="shared" si="2"/>
        <v>CCap.SRef.ReLo.NN.RgR.</v>
      </c>
      <c r="E61" t="str">
        <f t="shared" si="3"/>
        <v>CCap.SRef.ReLo.NN.RgR.</v>
      </c>
      <c r="H61" t="str">
        <f t="shared" si="4"/>
        <v>CCap.SRef.ReLo.NN.RgR.</v>
      </c>
      <c r="I61" t="s">
        <v>59</v>
      </c>
      <c r="J61" t="s">
        <v>50</v>
      </c>
      <c r="K61" t="s">
        <v>52</v>
      </c>
      <c r="L61" t="s">
        <v>11</v>
      </c>
      <c r="M61" t="s">
        <v>58</v>
      </c>
      <c r="N61" t="str">
        <f t="shared" si="5"/>
        <v>Lo-Ref</v>
      </c>
      <c r="O61" t="str">
        <f t="shared" si="6"/>
        <v>R-Cap</v>
      </c>
      <c r="Q61">
        <f t="shared" si="12"/>
        <v>56</v>
      </c>
      <c r="R61" t="str">
        <f t="shared" si="7"/>
        <v>CCap.</v>
      </c>
      <c r="S61" t="str">
        <f t="shared" si="8"/>
        <v>SRef.</v>
      </c>
      <c r="T61" t="str">
        <f t="shared" si="9"/>
        <v>ReLo.</v>
      </c>
      <c r="U61" t="str">
        <f t="shared" si="10"/>
        <v>NN.</v>
      </c>
      <c r="V61" t="str">
        <f t="shared" si="11"/>
        <v>RgR.</v>
      </c>
    </row>
    <row r="62" spans="1:22">
      <c r="A62">
        <v>1</v>
      </c>
      <c r="B62" t="str">
        <f t="shared" si="0"/>
        <v>IEMM~057</v>
      </c>
      <c r="C62" t="str">
        <f t="shared" si="1"/>
        <v>C25-5.SRef.ReLo.NN.RgR.</v>
      </c>
      <c r="D62" t="str">
        <f t="shared" si="2"/>
        <v>C25-5.SRef.ReLo.NN.RgR.</v>
      </c>
      <c r="E62" t="str">
        <f t="shared" si="3"/>
        <v>C25-5.SRef.ReLo.NN.RgR.</v>
      </c>
      <c r="H62" t="str">
        <f t="shared" si="4"/>
        <v>C25-5.SRef.ReLo.NN.RgR.</v>
      </c>
      <c r="I62" t="s">
        <v>60</v>
      </c>
      <c r="J62" t="s">
        <v>50</v>
      </c>
      <c r="K62" t="s">
        <v>52</v>
      </c>
      <c r="L62" t="s">
        <v>11</v>
      </c>
      <c r="M62" t="s">
        <v>58</v>
      </c>
      <c r="N62" t="str">
        <f t="shared" si="5"/>
        <v>Lo-Ref</v>
      </c>
      <c r="O62" t="str">
        <f t="shared" si="6"/>
        <v>R-25-5</v>
      </c>
      <c r="Q62">
        <f t="shared" si="12"/>
        <v>57</v>
      </c>
      <c r="R62" t="str">
        <f t="shared" si="7"/>
        <v>C25-5.</v>
      </c>
      <c r="S62" t="str">
        <f t="shared" si="8"/>
        <v>SRef.</v>
      </c>
      <c r="T62" t="str">
        <f t="shared" si="9"/>
        <v>ReLo.</v>
      </c>
      <c r="U62" t="str">
        <f t="shared" si="10"/>
        <v>NN.</v>
      </c>
      <c r="V62" t="str">
        <f t="shared" si="11"/>
        <v>RgR.</v>
      </c>
    </row>
    <row r="63" spans="1:22">
      <c r="A63">
        <v>1</v>
      </c>
      <c r="B63" t="str">
        <f t="shared" si="0"/>
        <v>IEMM~058</v>
      </c>
      <c r="C63" t="str">
        <f t="shared" si="1"/>
        <v>C50-5.SRef.ReLo.NN.RgR.</v>
      </c>
      <c r="D63" t="str">
        <f t="shared" si="2"/>
        <v>C50-5.SRef.ReLo.NN.RgR.</v>
      </c>
      <c r="E63" t="str">
        <f t="shared" si="3"/>
        <v>C50-5.SRef.ReLo.NN.RgR.</v>
      </c>
      <c r="H63" t="str">
        <f t="shared" si="4"/>
        <v>C50-5.SRef.ReLo.NN.RgR.</v>
      </c>
      <c r="I63" t="s">
        <v>61</v>
      </c>
      <c r="J63" t="s">
        <v>50</v>
      </c>
      <c r="K63" t="s">
        <v>52</v>
      </c>
      <c r="L63" t="s">
        <v>11</v>
      </c>
      <c r="M63" t="s">
        <v>58</v>
      </c>
      <c r="N63" t="str">
        <f t="shared" si="5"/>
        <v>Lo-Ref</v>
      </c>
      <c r="O63" t="str">
        <f t="shared" si="6"/>
        <v>R-50-5</v>
      </c>
      <c r="Q63">
        <f t="shared" si="12"/>
        <v>58</v>
      </c>
      <c r="R63" t="str">
        <f t="shared" si="7"/>
        <v>C50-5.</v>
      </c>
      <c r="S63" t="str">
        <f t="shared" si="8"/>
        <v>SRef.</v>
      </c>
      <c r="T63" t="str">
        <f t="shared" si="9"/>
        <v>ReLo.</v>
      </c>
      <c r="U63" t="str">
        <f t="shared" si="10"/>
        <v>NN.</v>
      </c>
      <c r="V63" t="str">
        <f t="shared" si="11"/>
        <v>RgR.</v>
      </c>
    </row>
    <row r="64" spans="1:22">
      <c r="A64">
        <v>1</v>
      </c>
      <c r="B64" t="str">
        <f t="shared" ref="B64:B105" si="13">$B$1&amp;"~"&amp;TEXT(Q64,"000")</f>
        <v>IEMM~059</v>
      </c>
      <c r="C64" t="str">
        <f t="shared" ref="C64:C105" si="14">H64</f>
        <v>C25-1.SRef.ReLo.NN.RgR.</v>
      </c>
      <c r="D64" t="str">
        <f t="shared" ref="D64:D105" si="15">C64</f>
        <v>C25-1.SRef.ReLo.NN.RgR.</v>
      </c>
      <c r="E64" t="str">
        <f t="shared" ref="E64:E105" si="16">D64</f>
        <v>C25-1.SRef.ReLo.NN.RgR.</v>
      </c>
      <c r="H64" t="str">
        <f t="shared" si="4"/>
        <v>C25-1.SRef.ReLo.NN.RgR.</v>
      </c>
      <c r="I64" t="s">
        <v>62</v>
      </c>
      <c r="J64" t="s">
        <v>50</v>
      </c>
      <c r="K64" t="s">
        <v>52</v>
      </c>
      <c r="L64" t="s">
        <v>11</v>
      </c>
      <c r="M64" t="s">
        <v>58</v>
      </c>
      <c r="N64" t="str">
        <f t="shared" si="5"/>
        <v>Lo-Ref</v>
      </c>
      <c r="O64" t="str">
        <f t="shared" si="6"/>
        <v>R-25-1</v>
      </c>
      <c r="Q64">
        <f t="shared" si="12"/>
        <v>59</v>
      </c>
      <c r="R64" t="str">
        <f t="shared" si="7"/>
        <v>C25-1.</v>
      </c>
      <c r="S64" t="str">
        <f t="shared" si="8"/>
        <v>SRef.</v>
      </c>
      <c r="T64" t="str">
        <f t="shared" si="9"/>
        <v>ReLo.</v>
      </c>
      <c r="U64" t="str">
        <f t="shared" si="10"/>
        <v>NN.</v>
      </c>
      <c r="V64" t="str">
        <f t="shared" si="11"/>
        <v>RgR.</v>
      </c>
    </row>
    <row r="65" spans="1:22">
      <c r="A65">
        <v>1</v>
      </c>
      <c r="B65" t="str">
        <f t="shared" si="13"/>
        <v>IEMM~060</v>
      </c>
      <c r="C65" t="str">
        <f t="shared" si="14"/>
        <v>C50-1.SRef.ReLo.NN.RgR.</v>
      </c>
      <c r="D65" t="str">
        <f t="shared" si="15"/>
        <v>C50-1.SRef.ReLo.NN.RgR.</v>
      </c>
      <c r="E65" t="str">
        <f t="shared" si="16"/>
        <v>C50-1.SRef.ReLo.NN.RgR.</v>
      </c>
      <c r="H65" t="str">
        <f t="shared" si="4"/>
        <v>C50-1.SRef.ReLo.NN.RgR.</v>
      </c>
      <c r="I65" t="s">
        <v>63</v>
      </c>
      <c r="J65" t="s">
        <v>50</v>
      </c>
      <c r="K65" t="s">
        <v>52</v>
      </c>
      <c r="L65" t="s">
        <v>11</v>
      </c>
      <c r="M65" t="s">
        <v>58</v>
      </c>
      <c r="N65" t="str">
        <f t="shared" si="5"/>
        <v>Lo-Ref</v>
      </c>
      <c r="O65" t="str">
        <f t="shared" si="6"/>
        <v>R-50-1</v>
      </c>
      <c r="Q65">
        <f t="shared" si="12"/>
        <v>60</v>
      </c>
      <c r="R65" t="str">
        <f t="shared" si="7"/>
        <v>C50-1.</v>
      </c>
      <c r="S65" t="str">
        <f t="shared" si="8"/>
        <v>SRef.</v>
      </c>
      <c r="T65" t="str">
        <f t="shared" si="9"/>
        <v>ReLo.</v>
      </c>
      <c r="U65" t="str">
        <f t="shared" si="10"/>
        <v>NN.</v>
      </c>
      <c r="V65" t="str">
        <f t="shared" si="11"/>
        <v>RgR.</v>
      </c>
    </row>
    <row r="66" spans="1:22">
      <c r="A66">
        <v>1</v>
      </c>
      <c r="B66" t="str">
        <f t="shared" si="13"/>
        <v>IEMM~061</v>
      </c>
      <c r="C66" t="str">
        <f t="shared" si="14"/>
        <v>CRef.SLo.ReLo.NN.RgR.</v>
      </c>
      <c r="D66" t="str">
        <f t="shared" si="15"/>
        <v>CRef.SLo.ReLo.NN.RgR.</v>
      </c>
      <c r="E66" t="str">
        <f t="shared" si="16"/>
        <v>CRef.SLo.ReLo.NN.RgR.</v>
      </c>
      <c r="H66" t="str">
        <f t="shared" si="4"/>
        <v>CRef.SLo.ReLo.NN.RgR.</v>
      </c>
      <c r="I66" t="s">
        <v>50</v>
      </c>
      <c r="J66" t="s">
        <v>52</v>
      </c>
      <c r="K66" t="s">
        <v>52</v>
      </c>
      <c r="L66" t="s">
        <v>11</v>
      </c>
      <c r="M66" t="s">
        <v>58</v>
      </c>
      <c r="N66" t="str">
        <f t="shared" si="5"/>
        <v>Lo-Lo</v>
      </c>
      <c r="O66" t="str">
        <f t="shared" si="6"/>
        <v>R-Ref</v>
      </c>
      <c r="Q66">
        <f t="shared" si="12"/>
        <v>61</v>
      </c>
      <c r="R66" t="str">
        <f t="shared" si="7"/>
        <v>CRef.</v>
      </c>
      <c r="S66" t="str">
        <f t="shared" si="8"/>
        <v>SLo.</v>
      </c>
      <c r="T66" t="str">
        <f t="shared" si="9"/>
        <v>ReLo.</v>
      </c>
      <c r="U66" t="str">
        <f t="shared" si="10"/>
        <v>NN.</v>
      </c>
      <c r="V66" t="str">
        <f t="shared" si="11"/>
        <v>RgR.</v>
      </c>
    </row>
    <row r="67" spans="1:22">
      <c r="A67">
        <v>1</v>
      </c>
      <c r="B67" t="str">
        <f t="shared" si="13"/>
        <v>IEMM~062</v>
      </c>
      <c r="C67" t="str">
        <f t="shared" si="14"/>
        <v>CCap.SLo.ReLo.NN.RgR.</v>
      </c>
      <c r="D67" t="str">
        <f t="shared" si="15"/>
        <v>CCap.SLo.ReLo.NN.RgR.</v>
      </c>
      <c r="E67" t="str">
        <f t="shared" si="16"/>
        <v>CCap.SLo.ReLo.NN.RgR.</v>
      </c>
      <c r="H67" t="str">
        <f t="shared" si="4"/>
        <v>CCap.SLo.ReLo.NN.RgR.</v>
      </c>
      <c r="I67" t="s">
        <v>59</v>
      </c>
      <c r="J67" t="s">
        <v>52</v>
      </c>
      <c r="K67" t="s">
        <v>52</v>
      </c>
      <c r="L67" t="s">
        <v>11</v>
      </c>
      <c r="M67" t="s">
        <v>58</v>
      </c>
      <c r="N67" t="str">
        <f t="shared" si="5"/>
        <v>Lo-Lo</v>
      </c>
      <c r="O67" t="str">
        <f t="shared" si="6"/>
        <v>R-Cap</v>
      </c>
      <c r="Q67">
        <f t="shared" si="12"/>
        <v>62</v>
      </c>
      <c r="R67" t="str">
        <f t="shared" si="7"/>
        <v>CCap.</v>
      </c>
      <c r="S67" t="str">
        <f t="shared" si="8"/>
        <v>SLo.</v>
      </c>
      <c r="T67" t="str">
        <f t="shared" si="9"/>
        <v>ReLo.</v>
      </c>
      <c r="U67" t="str">
        <f t="shared" si="10"/>
        <v>NN.</v>
      </c>
      <c r="V67" t="str">
        <f t="shared" si="11"/>
        <v>RgR.</v>
      </c>
    </row>
    <row r="68" spans="1:22">
      <c r="A68">
        <v>1</v>
      </c>
      <c r="B68" t="str">
        <f t="shared" si="13"/>
        <v>IEMM~063</v>
      </c>
      <c r="C68" t="str">
        <f t="shared" si="14"/>
        <v>C25-5.SLo.ReLo.NN.RgR.</v>
      </c>
      <c r="D68" t="str">
        <f t="shared" si="15"/>
        <v>C25-5.SLo.ReLo.NN.RgR.</v>
      </c>
      <c r="E68" t="str">
        <f t="shared" si="16"/>
        <v>C25-5.SLo.ReLo.NN.RgR.</v>
      </c>
      <c r="H68" t="str">
        <f t="shared" si="4"/>
        <v>C25-5.SLo.ReLo.NN.RgR.</v>
      </c>
      <c r="I68" t="s">
        <v>60</v>
      </c>
      <c r="J68" t="s">
        <v>52</v>
      </c>
      <c r="K68" t="s">
        <v>52</v>
      </c>
      <c r="L68" t="s">
        <v>11</v>
      </c>
      <c r="M68" t="s">
        <v>58</v>
      </c>
      <c r="N68" t="str">
        <f t="shared" si="5"/>
        <v>Lo-Lo</v>
      </c>
      <c r="O68" t="str">
        <f t="shared" si="6"/>
        <v>R-25-5</v>
      </c>
      <c r="Q68">
        <f t="shared" si="12"/>
        <v>63</v>
      </c>
      <c r="R68" t="str">
        <f t="shared" si="7"/>
        <v>C25-5.</v>
      </c>
      <c r="S68" t="str">
        <f t="shared" si="8"/>
        <v>SLo.</v>
      </c>
      <c r="T68" t="str">
        <f t="shared" si="9"/>
        <v>ReLo.</v>
      </c>
      <c r="U68" t="str">
        <f t="shared" si="10"/>
        <v>NN.</v>
      </c>
      <c r="V68" t="str">
        <f t="shared" si="11"/>
        <v>RgR.</v>
      </c>
    </row>
    <row r="69" spans="1:22">
      <c r="A69">
        <v>1</v>
      </c>
      <c r="B69" t="str">
        <f t="shared" si="13"/>
        <v>IEMM~064</v>
      </c>
      <c r="C69" t="str">
        <f t="shared" si="14"/>
        <v>C50-5.SLo.ReLo.NN.RgR.</v>
      </c>
      <c r="D69" t="str">
        <f t="shared" si="15"/>
        <v>C50-5.SLo.ReLo.NN.RgR.</v>
      </c>
      <c r="E69" t="str">
        <f t="shared" si="16"/>
        <v>C50-5.SLo.ReLo.NN.RgR.</v>
      </c>
      <c r="H69" t="str">
        <f t="shared" si="4"/>
        <v>C50-5.SLo.ReLo.NN.RgR.</v>
      </c>
      <c r="I69" t="s">
        <v>61</v>
      </c>
      <c r="J69" t="s">
        <v>52</v>
      </c>
      <c r="K69" t="s">
        <v>52</v>
      </c>
      <c r="L69" t="s">
        <v>11</v>
      </c>
      <c r="M69" t="s">
        <v>58</v>
      </c>
      <c r="N69" t="str">
        <f t="shared" si="5"/>
        <v>Lo-Lo</v>
      </c>
      <c r="O69" t="str">
        <f t="shared" si="6"/>
        <v>R-50-5</v>
      </c>
      <c r="Q69">
        <f t="shared" si="12"/>
        <v>64</v>
      </c>
      <c r="R69" t="str">
        <f t="shared" si="7"/>
        <v>C50-5.</v>
      </c>
      <c r="S69" t="str">
        <f t="shared" si="8"/>
        <v>SLo.</v>
      </c>
      <c r="T69" t="str">
        <f t="shared" si="9"/>
        <v>ReLo.</v>
      </c>
      <c r="U69" t="str">
        <f t="shared" si="10"/>
        <v>NN.</v>
      </c>
      <c r="V69" t="str">
        <f t="shared" si="11"/>
        <v>RgR.</v>
      </c>
    </row>
    <row r="70" spans="1:22">
      <c r="A70">
        <v>1</v>
      </c>
      <c r="B70" t="str">
        <f t="shared" si="13"/>
        <v>IEMM~065</v>
      </c>
      <c r="C70" t="str">
        <f t="shared" si="14"/>
        <v>C25-1.SLo.ReLo.NN.RgR.</v>
      </c>
      <c r="D70" t="str">
        <f t="shared" si="15"/>
        <v>C25-1.SLo.ReLo.NN.RgR.</v>
      </c>
      <c r="E70" t="str">
        <f t="shared" si="16"/>
        <v>C25-1.SLo.ReLo.NN.RgR.</v>
      </c>
      <c r="H70" t="str">
        <f t="shared" si="4"/>
        <v>C25-1.SLo.ReLo.NN.RgR.</v>
      </c>
      <c r="I70" t="s">
        <v>62</v>
      </c>
      <c r="J70" t="s">
        <v>52</v>
      </c>
      <c r="K70" t="s">
        <v>52</v>
      </c>
      <c r="L70" t="s">
        <v>11</v>
      </c>
      <c r="M70" t="s">
        <v>58</v>
      </c>
      <c r="N70" t="str">
        <f t="shared" si="5"/>
        <v>Lo-Lo</v>
      </c>
      <c r="O70" t="str">
        <f t="shared" si="6"/>
        <v>R-25-1</v>
      </c>
      <c r="Q70">
        <f t="shared" si="12"/>
        <v>65</v>
      </c>
      <c r="R70" t="str">
        <f t="shared" si="7"/>
        <v>C25-1.</v>
      </c>
      <c r="S70" t="str">
        <f t="shared" si="8"/>
        <v>SLo.</v>
      </c>
      <c r="T70" t="str">
        <f t="shared" si="9"/>
        <v>ReLo.</v>
      </c>
      <c r="U70" t="str">
        <f t="shared" si="10"/>
        <v>NN.</v>
      </c>
      <c r="V70" t="str">
        <f t="shared" si="11"/>
        <v>RgR.</v>
      </c>
    </row>
    <row r="71" spans="1:22">
      <c r="A71">
        <v>1</v>
      </c>
      <c r="B71" t="str">
        <f t="shared" si="13"/>
        <v>IEMM~066</v>
      </c>
      <c r="C71" t="str">
        <f t="shared" si="14"/>
        <v>C50-1.SLo.ReLo.NN.RgR.</v>
      </c>
      <c r="D71" t="str">
        <f t="shared" si="15"/>
        <v>C50-1.SLo.ReLo.NN.RgR.</v>
      </c>
      <c r="E71" t="str">
        <f t="shared" si="16"/>
        <v>C50-1.SLo.ReLo.NN.RgR.</v>
      </c>
      <c r="H71" t="str">
        <f t="shared" ref="H71:H134" si="17">R71&amp;S71&amp;T71&amp;U71&amp;V71</f>
        <v>C50-1.SLo.ReLo.NN.RgR.</v>
      </c>
      <c r="I71" t="s">
        <v>63</v>
      </c>
      <c r="J71" t="s">
        <v>52</v>
      </c>
      <c r="K71" t="s">
        <v>52</v>
      </c>
      <c r="L71" t="s">
        <v>11</v>
      </c>
      <c r="M71" t="s">
        <v>58</v>
      </c>
      <c r="N71" t="str">
        <f t="shared" ref="N71:N134" si="18">K71&amp;"-"&amp;J71</f>
        <v>Lo-Lo</v>
      </c>
      <c r="O71" t="str">
        <f t="shared" ref="O71:O134" si="19">M71&amp;"-"&amp;I71</f>
        <v>R-50-1</v>
      </c>
      <c r="Q71">
        <f t="shared" si="12"/>
        <v>66</v>
      </c>
      <c r="R71" t="str">
        <f t="shared" ref="R71:R105" si="20">I$1&amp;I71&amp;"."</f>
        <v>C50-1.</v>
      </c>
      <c r="S71" t="str">
        <f t="shared" ref="S71:S105" si="21">J$1&amp;J71&amp;"."</f>
        <v>SLo.</v>
      </c>
      <c r="T71" t="str">
        <f t="shared" ref="T71:T105" si="22">K$1&amp;K71&amp;"."</f>
        <v>ReLo.</v>
      </c>
      <c r="U71" t="str">
        <f t="shared" ref="U71:U105" si="23">L$1&amp;L71&amp;"."</f>
        <v>NN.</v>
      </c>
      <c r="V71" t="str">
        <f t="shared" ref="V71:V105" si="24">M$1&amp;M71&amp;"."</f>
        <v>RgR.</v>
      </c>
    </row>
    <row r="72" spans="1:22">
      <c r="A72">
        <v>1</v>
      </c>
      <c r="B72" t="str">
        <f t="shared" si="13"/>
        <v>IEMM~067</v>
      </c>
      <c r="C72" t="str">
        <f t="shared" si="14"/>
        <v>CRef.SHi.ReLo.NN.RgR.</v>
      </c>
      <c r="D72" t="str">
        <f t="shared" si="15"/>
        <v>CRef.SHi.ReLo.NN.RgR.</v>
      </c>
      <c r="E72" t="str">
        <f t="shared" si="16"/>
        <v>CRef.SHi.ReLo.NN.RgR.</v>
      </c>
      <c r="H72" t="str">
        <f t="shared" si="17"/>
        <v>CRef.SHi.ReLo.NN.RgR.</v>
      </c>
      <c r="I72" t="s">
        <v>50</v>
      </c>
      <c r="J72" t="s">
        <v>51</v>
      </c>
      <c r="K72" t="s">
        <v>52</v>
      </c>
      <c r="L72" t="s">
        <v>11</v>
      </c>
      <c r="M72" t="s">
        <v>58</v>
      </c>
      <c r="N72" t="str">
        <f t="shared" si="18"/>
        <v>Lo-Hi</v>
      </c>
      <c r="O72" t="str">
        <f t="shared" si="19"/>
        <v>R-Ref</v>
      </c>
      <c r="Q72">
        <f t="shared" ref="Q72:Q135" si="25">Q71+1</f>
        <v>67</v>
      </c>
      <c r="R72" t="str">
        <f t="shared" si="20"/>
        <v>CRef.</v>
      </c>
      <c r="S72" t="str">
        <f t="shared" si="21"/>
        <v>SHi.</v>
      </c>
      <c r="T72" t="str">
        <f t="shared" si="22"/>
        <v>ReLo.</v>
      </c>
      <c r="U72" t="str">
        <f t="shared" si="23"/>
        <v>NN.</v>
      </c>
      <c r="V72" t="str">
        <f t="shared" si="24"/>
        <v>RgR.</v>
      </c>
    </row>
    <row r="73" spans="1:22">
      <c r="A73">
        <v>1</v>
      </c>
      <c r="B73" t="str">
        <f t="shared" si="13"/>
        <v>IEMM~068</v>
      </c>
      <c r="C73" t="str">
        <f t="shared" si="14"/>
        <v>CCap.SHi.ReLo.NN.RgR.</v>
      </c>
      <c r="D73" t="str">
        <f t="shared" si="15"/>
        <v>CCap.SHi.ReLo.NN.RgR.</v>
      </c>
      <c r="E73" t="str">
        <f t="shared" si="16"/>
        <v>CCap.SHi.ReLo.NN.RgR.</v>
      </c>
      <c r="H73" t="str">
        <f t="shared" si="17"/>
        <v>CCap.SHi.ReLo.NN.RgR.</v>
      </c>
      <c r="I73" t="s">
        <v>59</v>
      </c>
      <c r="J73" t="s">
        <v>51</v>
      </c>
      <c r="K73" t="s">
        <v>52</v>
      </c>
      <c r="L73" t="s">
        <v>11</v>
      </c>
      <c r="M73" t="s">
        <v>58</v>
      </c>
      <c r="N73" t="str">
        <f t="shared" si="18"/>
        <v>Lo-Hi</v>
      </c>
      <c r="O73" t="str">
        <f t="shared" si="19"/>
        <v>R-Cap</v>
      </c>
      <c r="Q73">
        <f t="shared" si="25"/>
        <v>68</v>
      </c>
      <c r="R73" t="str">
        <f t="shared" si="20"/>
        <v>CCap.</v>
      </c>
      <c r="S73" t="str">
        <f t="shared" si="21"/>
        <v>SHi.</v>
      </c>
      <c r="T73" t="str">
        <f t="shared" si="22"/>
        <v>ReLo.</v>
      </c>
      <c r="U73" t="str">
        <f t="shared" si="23"/>
        <v>NN.</v>
      </c>
      <c r="V73" t="str">
        <f t="shared" si="24"/>
        <v>RgR.</v>
      </c>
    </row>
    <row r="74" spans="1:22">
      <c r="A74">
        <v>1</v>
      </c>
      <c r="B74" t="str">
        <f t="shared" si="13"/>
        <v>IEMM~069</v>
      </c>
      <c r="C74" t="str">
        <f t="shared" si="14"/>
        <v>C25-5.SHi.ReLo.NN.RgR.</v>
      </c>
      <c r="D74" t="str">
        <f t="shared" si="15"/>
        <v>C25-5.SHi.ReLo.NN.RgR.</v>
      </c>
      <c r="E74" t="str">
        <f t="shared" si="16"/>
        <v>C25-5.SHi.ReLo.NN.RgR.</v>
      </c>
      <c r="H74" t="str">
        <f t="shared" si="17"/>
        <v>C25-5.SHi.ReLo.NN.RgR.</v>
      </c>
      <c r="I74" t="s">
        <v>60</v>
      </c>
      <c r="J74" t="s">
        <v>51</v>
      </c>
      <c r="K74" t="s">
        <v>52</v>
      </c>
      <c r="L74" t="s">
        <v>11</v>
      </c>
      <c r="M74" t="s">
        <v>58</v>
      </c>
      <c r="N74" t="str">
        <f t="shared" si="18"/>
        <v>Lo-Hi</v>
      </c>
      <c r="O74" t="str">
        <f t="shared" si="19"/>
        <v>R-25-5</v>
      </c>
      <c r="Q74">
        <f t="shared" si="25"/>
        <v>69</v>
      </c>
      <c r="R74" t="str">
        <f t="shared" si="20"/>
        <v>C25-5.</v>
      </c>
      <c r="S74" t="str">
        <f t="shared" si="21"/>
        <v>SHi.</v>
      </c>
      <c r="T74" t="str">
        <f t="shared" si="22"/>
        <v>ReLo.</v>
      </c>
      <c r="U74" t="str">
        <f t="shared" si="23"/>
        <v>NN.</v>
      </c>
      <c r="V74" t="str">
        <f t="shared" si="24"/>
        <v>RgR.</v>
      </c>
    </row>
    <row r="75" spans="1:22">
      <c r="A75">
        <v>1</v>
      </c>
      <c r="B75" t="str">
        <f t="shared" si="13"/>
        <v>IEMM~070</v>
      </c>
      <c r="C75" t="str">
        <f t="shared" si="14"/>
        <v>C50-5.SHi.ReLo.NN.RgR.</v>
      </c>
      <c r="D75" t="str">
        <f t="shared" si="15"/>
        <v>C50-5.SHi.ReLo.NN.RgR.</v>
      </c>
      <c r="E75" t="str">
        <f t="shared" si="16"/>
        <v>C50-5.SHi.ReLo.NN.RgR.</v>
      </c>
      <c r="H75" t="str">
        <f t="shared" si="17"/>
        <v>C50-5.SHi.ReLo.NN.RgR.</v>
      </c>
      <c r="I75" t="s">
        <v>61</v>
      </c>
      <c r="J75" t="s">
        <v>51</v>
      </c>
      <c r="K75" t="s">
        <v>52</v>
      </c>
      <c r="L75" t="s">
        <v>11</v>
      </c>
      <c r="M75" t="s">
        <v>58</v>
      </c>
      <c r="N75" t="str">
        <f t="shared" si="18"/>
        <v>Lo-Hi</v>
      </c>
      <c r="O75" t="str">
        <f t="shared" si="19"/>
        <v>R-50-5</v>
      </c>
      <c r="Q75">
        <f t="shared" si="25"/>
        <v>70</v>
      </c>
      <c r="R75" t="str">
        <f t="shared" si="20"/>
        <v>C50-5.</v>
      </c>
      <c r="S75" t="str">
        <f t="shared" si="21"/>
        <v>SHi.</v>
      </c>
      <c r="T75" t="str">
        <f t="shared" si="22"/>
        <v>ReLo.</v>
      </c>
      <c r="U75" t="str">
        <f t="shared" si="23"/>
        <v>NN.</v>
      </c>
      <c r="V75" t="str">
        <f t="shared" si="24"/>
        <v>RgR.</v>
      </c>
    </row>
    <row r="76" spans="1:22">
      <c r="A76">
        <v>1</v>
      </c>
      <c r="B76" t="str">
        <f t="shared" si="13"/>
        <v>IEMM~071</v>
      </c>
      <c r="C76" t="str">
        <f t="shared" si="14"/>
        <v>C25-1.SHi.ReLo.NN.RgR.</v>
      </c>
      <c r="D76" t="str">
        <f t="shared" si="15"/>
        <v>C25-1.SHi.ReLo.NN.RgR.</v>
      </c>
      <c r="E76" t="str">
        <f t="shared" si="16"/>
        <v>C25-1.SHi.ReLo.NN.RgR.</v>
      </c>
      <c r="H76" t="str">
        <f t="shared" si="17"/>
        <v>C25-1.SHi.ReLo.NN.RgR.</v>
      </c>
      <c r="I76" t="s">
        <v>62</v>
      </c>
      <c r="J76" t="s">
        <v>51</v>
      </c>
      <c r="K76" t="s">
        <v>52</v>
      </c>
      <c r="L76" t="s">
        <v>11</v>
      </c>
      <c r="M76" t="s">
        <v>58</v>
      </c>
      <c r="N76" t="str">
        <f t="shared" si="18"/>
        <v>Lo-Hi</v>
      </c>
      <c r="O76" t="str">
        <f t="shared" si="19"/>
        <v>R-25-1</v>
      </c>
      <c r="Q76">
        <f t="shared" si="25"/>
        <v>71</v>
      </c>
      <c r="R76" t="str">
        <f t="shared" si="20"/>
        <v>C25-1.</v>
      </c>
      <c r="S76" t="str">
        <f t="shared" si="21"/>
        <v>SHi.</v>
      </c>
      <c r="T76" t="str">
        <f t="shared" si="22"/>
        <v>ReLo.</v>
      </c>
      <c r="U76" t="str">
        <f t="shared" si="23"/>
        <v>NN.</v>
      </c>
      <c r="V76" t="str">
        <f t="shared" si="24"/>
        <v>RgR.</v>
      </c>
    </row>
    <row r="77" spans="1:22">
      <c r="A77">
        <v>1</v>
      </c>
      <c r="B77" t="str">
        <f t="shared" si="13"/>
        <v>IEMM~072</v>
      </c>
      <c r="C77" t="str">
        <f t="shared" si="14"/>
        <v>C50-1.SHi.ReLo.NN.RgR.</v>
      </c>
      <c r="D77" t="str">
        <f t="shared" si="15"/>
        <v>C50-1.SHi.ReLo.NN.RgR.</v>
      </c>
      <c r="E77" t="str">
        <f t="shared" si="16"/>
        <v>C50-1.SHi.ReLo.NN.RgR.</v>
      </c>
      <c r="H77" t="str">
        <f t="shared" si="17"/>
        <v>C50-1.SHi.ReLo.NN.RgR.</v>
      </c>
      <c r="I77" t="s">
        <v>63</v>
      </c>
      <c r="J77" t="s">
        <v>51</v>
      </c>
      <c r="K77" t="s">
        <v>52</v>
      </c>
      <c r="L77" t="s">
        <v>11</v>
      </c>
      <c r="M77" t="s">
        <v>58</v>
      </c>
      <c r="N77" t="str">
        <f t="shared" si="18"/>
        <v>Lo-Hi</v>
      </c>
      <c r="O77" t="str">
        <f t="shared" si="19"/>
        <v>R-50-1</v>
      </c>
      <c r="Q77">
        <f t="shared" si="25"/>
        <v>72</v>
      </c>
      <c r="R77" t="str">
        <f t="shared" si="20"/>
        <v>C50-1.</v>
      </c>
      <c r="S77" t="str">
        <f t="shared" si="21"/>
        <v>SHi.</v>
      </c>
      <c r="T77" t="str">
        <f t="shared" si="22"/>
        <v>ReLo.</v>
      </c>
      <c r="U77" t="str">
        <f t="shared" si="23"/>
        <v>NN.</v>
      </c>
      <c r="V77" t="str">
        <f t="shared" si="24"/>
        <v>RgR.</v>
      </c>
    </row>
    <row r="78" spans="1:22">
      <c r="A78">
        <v>1</v>
      </c>
      <c r="B78" t="str">
        <f t="shared" si="13"/>
        <v>IEMM~073</v>
      </c>
      <c r="C78" t="str">
        <f t="shared" si="14"/>
        <v>CRef.SRef.ReRef.NY.RgN.</v>
      </c>
      <c r="D78" t="str">
        <f t="shared" si="15"/>
        <v>CRef.SRef.ReRef.NY.RgN.</v>
      </c>
      <c r="E78" t="str">
        <f t="shared" si="16"/>
        <v>CRef.SRef.ReRef.NY.RgN.</v>
      </c>
      <c r="H78" t="str">
        <f t="shared" si="17"/>
        <v>CRef.SRef.ReRef.NY.RgN.</v>
      </c>
      <c r="I78" t="s">
        <v>50</v>
      </c>
      <c r="J78" t="s">
        <v>50</v>
      </c>
      <c r="K78" t="s">
        <v>50</v>
      </c>
      <c r="L78" t="s">
        <v>18</v>
      </c>
      <c r="M78" t="s">
        <v>11</v>
      </c>
      <c r="N78" t="str">
        <f t="shared" si="18"/>
        <v>Ref-Ref</v>
      </c>
      <c r="O78" t="str">
        <f t="shared" si="19"/>
        <v>N-Ref</v>
      </c>
      <c r="Q78">
        <f t="shared" si="25"/>
        <v>73</v>
      </c>
      <c r="R78" t="str">
        <f t="shared" si="20"/>
        <v>CRef.</v>
      </c>
      <c r="S78" t="str">
        <f t="shared" si="21"/>
        <v>SRef.</v>
      </c>
      <c r="T78" t="str">
        <f t="shared" si="22"/>
        <v>ReRef.</v>
      </c>
      <c r="U78" t="str">
        <f t="shared" si="23"/>
        <v>NY.</v>
      </c>
      <c r="V78" t="str">
        <f t="shared" si="24"/>
        <v>RgN.</v>
      </c>
    </row>
    <row r="79" spans="1:22">
      <c r="A79">
        <v>1</v>
      </c>
      <c r="B79" t="str">
        <f t="shared" si="13"/>
        <v>IEMM~074</v>
      </c>
      <c r="C79" t="str">
        <f t="shared" si="14"/>
        <v>CCap.SRef.ReRef.NY.RgN.</v>
      </c>
      <c r="D79" t="str">
        <f t="shared" si="15"/>
        <v>CCap.SRef.ReRef.NY.RgN.</v>
      </c>
      <c r="E79" t="str">
        <f t="shared" si="16"/>
        <v>CCap.SRef.ReRef.NY.RgN.</v>
      </c>
      <c r="H79" t="str">
        <f t="shared" si="17"/>
        <v>CCap.SRef.ReRef.NY.RgN.</v>
      </c>
      <c r="I79" t="s">
        <v>59</v>
      </c>
      <c r="J79" t="s">
        <v>50</v>
      </c>
      <c r="K79" t="s">
        <v>50</v>
      </c>
      <c r="L79" t="s">
        <v>18</v>
      </c>
      <c r="M79" t="s">
        <v>11</v>
      </c>
      <c r="N79" t="str">
        <f t="shared" si="18"/>
        <v>Ref-Ref</v>
      </c>
      <c r="O79" t="str">
        <f t="shared" si="19"/>
        <v>N-Cap</v>
      </c>
      <c r="Q79">
        <f t="shared" si="25"/>
        <v>74</v>
      </c>
      <c r="R79" t="str">
        <f t="shared" si="20"/>
        <v>CCap.</v>
      </c>
      <c r="S79" t="str">
        <f t="shared" si="21"/>
        <v>SRef.</v>
      </c>
      <c r="T79" t="str">
        <f t="shared" si="22"/>
        <v>ReRef.</v>
      </c>
      <c r="U79" t="str">
        <f t="shared" si="23"/>
        <v>NY.</v>
      </c>
      <c r="V79" t="str">
        <f t="shared" si="24"/>
        <v>RgN.</v>
      </c>
    </row>
    <row r="80" spans="1:22">
      <c r="A80">
        <v>1</v>
      </c>
      <c r="B80" t="str">
        <f t="shared" si="13"/>
        <v>IEMM~075</v>
      </c>
      <c r="C80" t="str">
        <f t="shared" si="14"/>
        <v>C25-5.SRef.ReRef.NY.RgN.</v>
      </c>
      <c r="D80" t="str">
        <f t="shared" si="15"/>
        <v>C25-5.SRef.ReRef.NY.RgN.</v>
      </c>
      <c r="E80" t="str">
        <f t="shared" si="16"/>
        <v>C25-5.SRef.ReRef.NY.RgN.</v>
      </c>
      <c r="H80" t="str">
        <f t="shared" si="17"/>
        <v>C25-5.SRef.ReRef.NY.RgN.</v>
      </c>
      <c r="I80" t="s">
        <v>60</v>
      </c>
      <c r="J80" t="s">
        <v>50</v>
      </c>
      <c r="K80" t="s">
        <v>50</v>
      </c>
      <c r="L80" t="s">
        <v>18</v>
      </c>
      <c r="M80" t="s">
        <v>11</v>
      </c>
      <c r="N80" t="str">
        <f t="shared" si="18"/>
        <v>Ref-Ref</v>
      </c>
      <c r="O80" t="str">
        <f t="shared" si="19"/>
        <v>N-25-5</v>
      </c>
      <c r="Q80">
        <f t="shared" si="25"/>
        <v>75</v>
      </c>
      <c r="R80" t="str">
        <f t="shared" si="20"/>
        <v>C25-5.</v>
      </c>
      <c r="S80" t="str">
        <f t="shared" si="21"/>
        <v>SRef.</v>
      </c>
      <c r="T80" t="str">
        <f t="shared" si="22"/>
        <v>ReRef.</v>
      </c>
      <c r="U80" t="str">
        <f t="shared" si="23"/>
        <v>NY.</v>
      </c>
      <c r="V80" t="str">
        <f t="shared" si="24"/>
        <v>RgN.</v>
      </c>
    </row>
    <row r="81" spans="1:22">
      <c r="A81">
        <v>1</v>
      </c>
      <c r="B81" t="str">
        <f t="shared" si="13"/>
        <v>IEMM~076</v>
      </c>
      <c r="C81" t="str">
        <f t="shared" si="14"/>
        <v>C50-5.SRef.ReRef.NY.RgN.</v>
      </c>
      <c r="D81" t="str">
        <f t="shared" si="15"/>
        <v>C50-5.SRef.ReRef.NY.RgN.</v>
      </c>
      <c r="E81" t="str">
        <f t="shared" si="16"/>
        <v>C50-5.SRef.ReRef.NY.RgN.</v>
      </c>
      <c r="H81" t="str">
        <f t="shared" si="17"/>
        <v>C50-5.SRef.ReRef.NY.RgN.</v>
      </c>
      <c r="I81" t="s">
        <v>61</v>
      </c>
      <c r="J81" t="s">
        <v>50</v>
      </c>
      <c r="K81" t="s">
        <v>50</v>
      </c>
      <c r="L81" t="s">
        <v>18</v>
      </c>
      <c r="M81" t="s">
        <v>11</v>
      </c>
      <c r="N81" t="str">
        <f t="shared" si="18"/>
        <v>Ref-Ref</v>
      </c>
      <c r="O81" t="str">
        <f t="shared" si="19"/>
        <v>N-50-5</v>
      </c>
      <c r="Q81">
        <f t="shared" si="25"/>
        <v>76</v>
      </c>
      <c r="R81" t="str">
        <f t="shared" si="20"/>
        <v>C50-5.</v>
      </c>
      <c r="S81" t="str">
        <f t="shared" si="21"/>
        <v>SRef.</v>
      </c>
      <c r="T81" t="str">
        <f t="shared" si="22"/>
        <v>ReRef.</v>
      </c>
      <c r="U81" t="str">
        <f t="shared" si="23"/>
        <v>NY.</v>
      </c>
      <c r="V81" t="str">
        <f t="shared" si="24"/>
        <v>RgN.</v>
      </c>
    </row>
    <row r="82" spans="1:22">
      <c r="A82">
        <v>1</v>
      </c>
      <c r="B82" t="str">
        <f t="shared" si="13"/>
        <v>IEMM~077</v>
      </c>
      <c r="C82" t="str">
        <f t="shared" si="14"/>
        <v>C25-1.SRef.ReRef.NY.RgN.</v>
      </c>
      <c r="D82" t="str">
        <f t="shared" si="15"/>
        <v>C25-1.SRef.ReRef.NY.RgN.</v>
      </c>
      <c r="E82" t="str">
        <f t="shared" si="16"/>
        <v>C25-1.SRef.ReRef.NY.RgN.</v>
      </c>
      <c r="H82" t="str">
        <f t="shared" si="17"/>
        <v>C25-1.SRef.ReRef.NY.RgN.</v>
      </c>
      <c r="I82" t="s">
        <v>62</v>
      </c>
      <c r="J82" t="s">
        <v>50</v>
      </c>
      <c r="K82" t="s">
        <v>50</v>
      </c>
      <c r="L82" t="s">
        <v>18</v>
      </c>
      <c r="M82" t="s">
        <v>11</v>
      </c>
      <c r="N82" t="str">
        <f t="shared" si="18"/>
        <v>Ref-Ref</v>
      </c>
      <c r="O82" t="str">
        <f t="shared" si="19"/>
        <v>N-25-1</v>
      </c>
      <c r="Q82">
        <f t="shared" si="25"/>
        <v>77</v>
      </c>
      <c r="R82" t="str">
        <f t="shared" si="20"/>
        <v>C25-1.</v>
      </c>
      <c r="S82" t="str">
        <f t="shared" si="21"/>
        <v>SRef.</v>
      </c>
      <c r="T82" t="str">
        <f t="shared" si="22"/>
        <v>ReRef.</v>
      </c>
      <c r="U82" t="str">
        <f t="shared" si="23"/>
        <v>NY.</v>
      </c>
      <c r="V82" t="str">
        <f t="shared" si="24"/>
        <v>RgN.</v>
      </c>
    </row>
    <row r="83" spans="1:22">
      <c r="A83">
        <v>1</v>
      </c>
      <c r="B83" t="str">
        <f t="shared" si="13"/>
        <v>IEMM~078</v>
      </c>
      <c r="C83" t="str">
        <f t="shared" si="14"/>
        <v>C50-1.SRef.ReRef.NY.RgN.</v>
      </c>
      <c r="D83" t="str">
        <f t="shared" si="15"/>
        <v>C50-1.SRef.ReRef.NY.RgN.</v>
      </c>
      <c r="E83" t="str">
        <f t="shared" si="16"/>
        <v>C50-1.SRef.ReRef.NY.RgN.</v>
      </c>
      <c r="H83" t="str">
        <f t="shared" si="17"/>
        <v>C50-1.SRef.ReRef.NY.RgN.</v>
      </c>
      <c r="I83" t="s">
        <v>63</v>
      </c>
      <c r="J83" t="s">
        <v>50</v>
      </c>
      <c r="K83" t="s">
        <v>50</v>
      </c>
      <c r="L83" t="s">
        <v>18</v>
      </c>
      <c r="M83" t="s">
        <v>11</v>
      </c>
      <c r="N83" t="str">
        <f t="shared" si="18"/>
        <v>Ref-Ref</v>
      </c>
      <c r="O83" t="str">
        <f t="shared" si="19"/>
        <v>N-50-1</v>
      </c>
      <c r="Q83">
        <f t="shared" si="25"/>
        <v>78</v>
      </c>
      <c r="R83" t="str">
        <f t="shared" si="20"/>
        <v>C50-1.</v>
      </c>
      <c r="S83" t="str">
        <f t="shared" si="21"/>
        <v>SRef.</v>
      </c>
      <c r="T83" t="str">
        <f t="shared" si="22"/>
        <v>ReRef.</v>
      </c>
      <c r="U83" t="str">
        <f t="shared" si="23"/>
        <v>NY.</v>
      </c>
      <c r="V83" t="str">
        <f t="shared" si="24"/>
        <v>RgN.</v>
      </c>
    </row>
    <row r="84" spans="1:22">
      <c r="A84">
        <v>1</v>
      </c>
      <c r="B84" t="str">
        <f t="shared" si="13"/>
        <v>IEMM~079</v>
      </c>
      <c r="C84" t="str">
        <f t="shared" si="14"/>
        <v>CRef.SLo.ReRef.NY.RgN.</v>
      </c>
      <c r="D84" t="str">
        <f t="shared" si="15"/>
        <v>CRef.SLo.ReRef.NY.RgN.</v>
      </c>
      <c r="E84" t="str">
        <f t="shared" si="16"/>
        <v>CRef.SLo.ReRef.NY.RgN.</v>
      </c>
      <c r="H84" t="str">
        <f t="shared" si="17"/>
        <v>CRef.SLo.ReRef.NY.RgN.</v>
      </c>
      <c r="I84" t="s">
        <v>50</v>
      </c>
      <c r="J84" t="s">
        <v>52</v>
      </c>
      <c r="K84" t="s">
        <v>50</v>
      </c>
      <c r="L84" t="s">
        <v>18</v>
      </c>
      <c r="M84" t="s">
        <v>11</v>
      </c>
      <c r="N84" t="str">
        <f t="shared" si="18"/>
        <v>Ref-Lo</v>
      </c>
      <c r="O84" t="str">
        <f t="shared" si="19"/>
        <v>N-Ref</v>
      </c>
      <c r="Q84">
        <f t="shared" si="25"/>
        <v>79</v>
      </c>
      <c r="R84" t="str">
        <f t="shared" si="20"/>
        <v>CRef.</v>
      </c>
      <c r="S84" t="str">
        <f t="shared" si="21"/>
        <v>SLo.</v>
      </c>
      <c r="T84" t="str">
        <f t="shared" si="22"/>
        <v>ReRef.</v>
      </c>
      <c r="U84" t="str">
        <f t="shared" si="23"/>
        <v>NY.</v>
      </c>
      <c r="V84" t="str">
        <f t="shared" si="24"/>
        <v>RgN.</v>
      </c>
    </row>
    <row r="85" spans="1:22">
      <c r="A85">
        <v>1</v>
      </c>
      <c r="B85" t="str">
        <f t="shared" si="13"/>
        <v>IEMM~080</v>
      </c>
      <c r="C85" t="str">
        <f t="shared" si="14"/>
        <v>CCap.SLo.ReRef.NY.RgN.</v>
      </c>
      <c r="D85" t="str">
        <f t="shared" si="15"/>
        <v>CCap.SLo.ReRef.NY.RgN.</v>
      </c>
      <c r="E85" t="str">
        <f t="shared" si="16"/>
        <v>CCap.SLo.ReRef.NY.RgN.</v>
      </c>
      <c r="H85" t="str">
        <f t="shared" si="17"/>
        <v>CCap.SLo.ReRef.NY.RgN.</v>
      </c>
      <c r="I85" t="s">
        <v>59</v>
      </c>
      <c r="J85" t="s">
        <v>52</v>
      </c>
      <c r="K85" t="s">
        <v>50</v>
      </c>
      <c r="L85" t="s">
        <v>18</v>
      </c>
      <c r="M85" t="s">
        <v>11</v>
      </c>
      <c r="N85" t="str">
        <f t="shared" si="18"/>
        <v>Ref-Lo</v>
      </c>
      <c r="O85" t="str">
        <f t="shared" si="19"/>
        <v>N-Cap</v>
      </c>
      <c r="Q85">
        <f t="shared" si="25"/>
        <v>80</v>
      </c>
      <c r="R85" t="str">
        <f t="shared" si="20"/>
        <v>CCap.</v>
      </c>
      <c r="S85" t="str">
        <f t="shared" si="21"/>
        <v>SLo.</v>
      </c>
      <c r="T85" t="str">
        <f t="shared" si="22"/>
        <v>ReRef.</v>
      </c>
      <c r="U85" t="str">
        <f t="shared" si="23"/>
        <v>NY.</v>
      </c>
      <c r="V85" t="str">
        <f t="shared" si="24"/>
        <v>RgN.</v>
      </c>
    </row>
    <row r="86" spans="1:22">
      <c r="A86">
        <v>1</v>
      </c>
      <c r="B86" t="str">
        <f t="shared" si="13"/>
        <v>IEMM~081</v>
      </c>
      <c r="C86" t="str">
        <f t="shared" si="14"/>
        <v>C25-5.SLo.ReRef.NY.RgN.</v>
      </c>
      <c r="D86" t="str">
        <f t="shared" si="15"/>
        <v>C25-5.SLo.ReRef.NY.RgN.</v>
      </c>
      <c r="E86" t="str">
        <f t="shared" si="16"/>
        <v>C25-5.SLo.ReRef.NY.RgN.</v>
      </c>
      <c r="H86" t="str">
        <f t="shared" si="17"/>
        <v>C25-5.SLo.ReRef.NY.RgN.</v>
      </c>
      <c r="I86" t="s">
        <v>60</v>
      </c>
      <c r="J86" t="s">
        <v>52</v>
      </c>
      <c r="K86" t="s">
        <v>50</v>
      </c>
      <c r="L86" t="s">
        <v>18</v>
      </c>
      <c r="M86" t="s">
        <v>11</v>
      </c>
      <c r="N86" t="str">
        <f t="shared" si="18"/>
        <v>Ref-Lo</v>
      </c>
      <c r="O86" t="str">
        <f t="shared" si="19"/>
        <v>N-25-5</v>
      </c>
      <c r="Q86">
        <f t="shared" si="25"/>
        <v>81</v>
      </c>
      <c r="R86" t="str">
        <f t="shared" si="20"/>
        <v>C25-5.</v>
      </c>
      <c r="S86" t="str">
        <f t="shared" si="21"/>
        <v>SLo.</v>
      </c>
      <c r="T86" t="str">
        <f t="shared" si="22"/>
        <v>ReRef.</v>
      </c>
      <c r="U86" t="str">
        <f t="shared" si="23"/>
        <v>NY.</v>
      </c>
      <c r="V86" t="str">
        <f t="shared" si="24"/>
        <v>RgN.</v>
      </c>
    </row>
    <row r="87" spans="1:22">
      <c r="A87">
        <v>1</v>
      </c>
      <c r="B87" t="str">
        <f t="shared" si="13"/>
        <v>IEMM~082</v>
      </c>
      <c r="C87" t="str">
        <f t="shared" si="14"/>
        <v>C50-5.SLo.ReRef.NY.RgN.</v>
      </c>
      <c r="D87" t="str">
        <f t="shared" si="15"/>
        <v>C50-5.SLo.ReRef.NY.RgN.</v>
      </c>
      <c r="E87" t="str">
        <f t="shared" si="16"/>
        <v>C50-5.SLo.ReRef.NY.RgN.</v>
      </c>
      <c r="H87" t="str">
        <f t="shared" si="17"/>
        <v>C50-5.SLo.ReRef.NY.RgN.</v>
      </c>
      <c r="I87" t="s">
        <v>61</v>
      </c>
      <c r="J87" t="s">
        <v>52</v>
      </c>
      <c r="K87" t="s">
        <v>50</v>
      </c>
      <c r="L87" t="s">
        <v>18</v>
      </c>
      <c r="M87" t="s">
        <v>11</v>
      </c>
      <c r="N87" t="str">
        <f t="shared" si="18"/>
        <v>Ref-Lo</v>
      </c>
      <c r="O87" t="str">
        <f t="shared" si="19"/>
        <v>N-50-5</v>
      </c>
      <c r="Q87">
        <f t="shared" si="25"/>
        <v>82</v>
      </c>
      <c r="R87" t="str">
        <f t="shared" si="20"/>
        <v>C50-5.</v>
      </c>
      <c r="S87" t="str">
        <f t="shared" si="21"/>
        <v>SLo.</v>
      </c>
      <c r="T87" t="str">
        <f t="shared" si="22"/>
        <v>ReRef.</v>
      </c>
      <c r="U87" t="str">
        <f t="shared" si="23"/>
        <v>NY.</v>
      </c>
      <c r="V87" t="str">
        <f t="shared" si="24"/>
        <v>RgN.</v>
      </c>
    </row>
    <row r="88" spans="1:22">
      <c r="A88">
        <v>1</v>
      </c>
      <c r="B88" t="str">
        <f t="shared" si="13"/>
        <v>IEMM~083</v>
      </c>
      <c r="C88" t="str">
        <f t="shared" si="14"/>
        <v>C25-1.SLo.ReRef.NY.RgN.</v>
      </c>
      <c r="D88" t="str">
        <f t="shared" si="15"/>
        <v>C25-1.SLo.ReRef.NY.RgN.</v>
      </c>
      <c r="E88" t="str">
        <f t="shared" si="16"/>
        <v>C25-1.SLo.ReRef.NY.RgN.</v>
      </c>
      <c r="H88" t="str">
        <f t="shared" si="17"/>
        <v>C25-1.SLo.ReRef.NY.RgN.</v>
      </c>
      <c r="I88" t="s">
        <v>62</v>
      </c>
      <c r="J88" t="s">
        <v>52</v>
      </c>
      <c r="K88" t="s">
        <v>50</v>
      </c>
      <c r="L88" t="s">
        <v>18</v>
      </c>
      <c r="M88" t="s">
        <v>11</v>
      </c>
      <c r="N88" t="str">
        <f t="shared" si="18"/>
        <v>Ref-Lo</v>
      </c>
      <c r="O88" t="str">
        <f t="shared" si="19"/>
        <v>N-25-1</v>
      </c>
      <c r="Q88">
        <f t="shared" si="25"/>
        <v>83</v>
      </c>
      <c r="R88" t="str">
        <f t="shared" si="20"/>
        <v>C25-1.</v>
      </c>
      <c r="S88" t="str">
        <f t="shared" si="21"/>
        <v>SLo.</v>
      </c>
      <c r="T88" t="str">
        <f t="shared" si="22"/>
        <v>ReRef.</v>
      </c>
      <c r="U88" t="str">
        <f t="shared" si="23"/>
        <v>NY.</v>
      </c>
      <c r="V88" t="str">
        <f t="shared" si="24"/>
        <v>RgN.</v>
      </c>
    </row>
    <row r="89" spans="1:22">
      <c r="A89">
        <v>1</v>
      </c>
      <c r="B89" t="str">
        <f t="shared" si="13"/>
        <v>IEMM~084</v>
      </c>
      <c r="C89" t="str">
        <f t="shared" si="14"/>
        <v>C50-1.SLo.ReRef.NY.RgN.</v>
      </c>
      <c r="D89" t="str">
        <f t="shared" si="15"/>
        <v>C50-1.SLo.ReRef.NY.RgN.</v>
      </c>
      <c r="E89" t="str">
        <f t="shared" si="16"/>
        <v>C50-1.SLo.ReRef.NY.RgN.</v>
      </c>
      <c r="H89" t="str">
        <f t="shared" si="17"/>
        <v>C50-1.SLo.ReRef.NY.RgN.</v>
      </c>
      <c r="I89" t="s">
        <v>63</v>
      </c>
      <c r="J89" t="s">
        <v>52</v>
      </c>
      <c r="K89" t="s">
        <v>50</v>
      </c>
      <c r="L89" t="s">
        <v>18</v>
      </c>
      <c r="M89" t="s">
        <v>11</v>
      </c>
      <c r="N89" t="str">
        <f t="shared" si="18"/>
        <v>Ref-Lo</v>
      </c>
      <c r="O89" t="str">
        <f t="shared" si="19"/>
        <v>N-50-1</v>
      </c>
      <c r="Q89">
        <f t="shared" si="25"/>
        <v>84</v>
      </c>
      <c r="R89" t="str">
        <f t="shared" si="20"/>
        <v>C50-1.</v>
      </c>
      <c r="S89" t="str">
        <f t="shared" si="21"/>
        <v>SLo.</v>
      </c>
      <c r="T89" t="str">
        <f t="shared" si="22"/>
        <v>ReRef.</v>
      </c>
      <c r="U89" t="str">
        <f t="shared" si="23"/>
        <v>NY.</v>
      </c>
      <c r="V89" t="str">
        <f t="shared" si="24"/>
        <v>RgN.</v>
      </c>
    </row>
    <row r="90" spans="1:22">
      <c r="A90">
        <v>1</v>
      </c>
      <c r="B90" t="str">
        <f t="shared" si="13"/>
        <v>IEMM~085</v>
      </c>
      <c r="C90" t="str">
        <f t="shared" si="14"/>
        <v>CRef.SHi.ReRef.NY.RgN.</v>
      </c>
      <c r="D90" t="str">
        <f t="shared" si="15"/>
        <v>CRef.SHi.ReRef.NY.RgN.</v>
      </c>
      <c r="E90" t="str">
        <f t="shared" si="16"/>
        <v>CRef.SHi.ReRef.NY.RgN.</v>
      </c>
      <c r="H90" t="str">
        <f t="shared" si="17"/>
        <v>CRef.SHi.ReRef.NY.RgN.</v>
      </c>
      <c r="I90" t="s">
        <v>50</v>
      </c>
      <c r="J90" t="s">
        <v>51</v>
      </c>
      <c r="K90" t="s">
        <v>50</v>
      </c>
      <c r="L90" t="s">
        <v>18</v>
      </c>
      <c r="M90" t="s">
        <v>11</v>
      </c>
      <c r="N90" t="str">
        <f t="shared" si="18"/>
        <v>Ref-Hi</v>
      </c>
      <c r="O90" t="str">
        <f t="shared" si="19"/>
        <v>N-Ref</v>
      </c>
      <c r="Q90">
        <f t="shared" si="25"/>
        <v>85</v>
      </c>
      <c r="R90" t="str">
        <f t="shared" si="20"/>
        <v>CRef.</v>
      </c>
      <c r="S90" t="str">
        <f t="shared" si="21"/>
        <v>SHi.</v>
      </c>
      <c r="T90" t="str">
        <f t="shared" si="22"/>
        <v>ReRef.</v>
      </c>
      <c r="U90" t="str">
        <f t="shared" si="23"/>
        <v>NY.</v>
      </c>
      <c r="V90" t="str">
        <f t="shared" si="24"/>
        <v>RgN.</v>
      </c>
    </row>
    <row r="91" spans="1:22">
      <c r="A91">
        <v>1</v>
      </c>
      <c r="B91" t="str">
        <f t="shared" si="13"/>
        <v>IEMM~086</v>
      </c>
      <c r="C91" t="str">
        <f t="shared" si="14"/>
        <v>CCap.SHi.ReRef.NY.RgN.</v>
      </c>
      <c r="D91" t="str">
        <f t="shared" si="15"/>
        <v>CCap.SHi.ReRef.NY.RgN.</v>
      </c>
      <c r="E91" t="str">
        <f t="shared" si="16"/>
        <v>CCap.SHi.ReRef.NY.RgN.</v>
      </c>
      <c r="H91" t="str">
        <f t="shared" si="17"/>
        <v>CCap.SHi.ReRef.NY.RgN.</v>
      </c>
      <c r="I91" t="s">
        <v>59</v>
      </c>
      <c r="J91" t="s">
        <v>51</v>
      </c>
      <c r="K91" t="s">
        <v>50</v>
      </c>
      <c r="L91" t="s">
        <v>18</v>
      </c>
      <c r="M91" t="s">
        <v>11</v>
      </c>
      <c r="N91" t="str">
        <f t="shared" si="18"/>
        <v>Ref-Hi</v>
      </c>
      <c r="O91" t="str">
        <f t="shared" si="19"/>
        <v>N-Cap</v>
      </c>
      <c r="Q91">
        <f t="shared" si="25"/>
        <v>86</v>
      </c>
      <c r="R91" t="str">
        <f t="shared" si="20"/>
        <v>CCap.</v>
      </c>
      <c r="S91" t="str">
        <f t="shared" si="21"/>
        <v>SHi.</v>
      </c>
      <c r="T91" t="str">
        <f t="shared" si="22"/>
        <v>ReRef.</v>
      </c>
      <c r="U91" t="str">
        <f t="shared" si="23"/>
        <v>NY.</v>
      </c>
      <c r="V91" t="str">
        <f t="shared" si="24"/>
        <v>RgN.</v>
      </c>
    </row>
    <row r="92" spans="1:22">
      <c r="A92">
        <v>1</v>
      </c>
      <c r="B92" t="str">
        <f t="shared" si="13"/>
        <v>IEMM~087</v>
      </c>
      <c r="C92" t="str">
        <f t="shared" si="14"/>
        <v>C25-5.SHi.ReRef.NY.RgN.</v>
      </c>
      <c r="D92" t="str">
        <f t="shared" si="15"/>
        <v>C25-5.SHi.ReRef.NY.RgN.</v>
      </c>
      <c r="E92" t="str">
        <f t="shared" si="16"/>
        <v>C25-5.SHi.ReRef.NY.RgN.</v>
      </c>
      <c r="H92" t="str">
        <f t="shared" si="17"/>
        <v>C25-5.SHi.ReRef.NY.RgN.</v>
      </c>
      <c r="I92" t="s">
        <v>60</v>
      </c>
      <c r="J92" t="s">
        <v>51</v>
      </c>
      <c r="K92" t="s">
        <v>50</v>
      </c>
      <c r="L92" t="s">
        <v>18</v>
      </c>
      <c r="M92" t="s">
        <v>11</v>
      </c>
      <c r="N92" t="str">
        <f t="shared" si="18"/>
        <v>Ref-Hi</v>
      </c>
      <c r="O92" t="str">
        <f t="shared" si="19"/>
        <v>N-25-5</v>
      </c>
      <c r="Q92">
        <f t="shared" si="25"/>
        <v>87</v>
      </c>
      <c r="R92" t="str">
        <f t="shared" si="20"/>
        <v>C25-5.</v>
      </c>
      <c r="S92" t="str">
        <f t="shared" si="21"/>
        <v>SHi.</v>
      </c>
      <c r="T92" t="str">
        <f t="shared" si="22"/>
        <v>ReRef.</v>
      </c>
      <c r="U92" t="str">
        <f t="shared" si="23"/>
        <v>NY.</v>
      </c>
      <c r="V92" t="str">
        <f t="shared" si="24"/>
        <v>RgN.</v>
      </c>
    </row>
    <row r="93" spans="1:22">
      <c r="A93">
        <v>1</v>
      </c>
      <c r="B93" t="str">
        <f t="shared" si="13"/>
        <v>IEMM~088</v>
      </c>
      <c r="C93" t="str">
        <f t="shared" si="14"/>
        <v>C50-5.SHi.ReRef.NY.RgN.</v>
      </c>
      <c r="D93" t="str">
        <f t="shared" si="15"/>
        <v>C50-5.SHi.ReRef.NY.RgN.</v>
      </c>
      <c r="E93" t="str">
        <f t="shared" si="16"/>
        <v>C50-5.SHi.ReRef.NY.RgN.</v>
      </c>
      <c r="H93" t="str">
        <f t="shared" si="17"/>
        <v>C50-5.SHi.ReRef.NY.RgN.</v>
      </c>
      <c r="I93" t="s">
        <v>61</v>
      </c>
      <c r="J93" t="s">
        <v>51</v>
      </c>
      <c r="K93" t="s">
        <v>50</v>
      </c>
      <c r="L93" t="s">
        <v>18</v>
      </c>
      <c r="M93" t="s">
        <v>11</v>
      </c>
      <c r="N93" t="str">
        <f t="shared" si="18"/>
        <v>Ref-Hi</v>
      </c>
      <c r="O93" t="str">
        <f t="shared" si="19"/>
        <v>N-50-5</v>
      </c>
      <c r="Q93">
        <f t="shared" si="25"/>
        <v>88</v>
      </c>
      <c r="R93" t="str">
        <f t="shared" si="20"/>
        <v>C50-5.</v>
      </c>
      <c r="S93" t="str">
        <f t="shared" si="21"/>
        <v>SHi.</v>
      </c>
      <c r="T93" t="str">
        <f t="shared" si="22"/>
        <v>ReRef.</v>
      </c>
      <c r="U93" t="str">
        <f t="shared" si="23"/>
        <v>NY.</v>
      </c>
      <c r="V93" t="str">
        <f t="shared" si="24"/>
        <v>RgN.</v>
      </c>
    </row>
    <row r="94" spans="1:22">
      <c r="A94">
        <v>1</v>
      </c>
      <c r="B94" t="str">
        <f t="shared" si="13"/>
        <v>IEMM~089</v>
      </c>
      <c r="C94" t="str">
        <f t="shared" si="14"/>
        <v>C25-1.SHi.ReRef.NY.RgN.</v>
      </c>
      <c r="D94" t="str">
        <f t="shared" si="15"/>
        <v>C25-1.SHi.ReRef.NY.RgN.</v>
      </c>
      <c r="E94" t="str">
        <f t="shared" si="16"/>
        <v>C25-1.SHi.ReRef.NY.RgN.</v>
      </c>
      <c r="H94" t="str">
        <f t="shared" si="17"/>
        <v>C25-1.SHi.ReRef.NY.RgN.</v>
      </c>
      <c r="I94" t="s">
        <v>62</v>
      </c>
      <c r="J94" t="s">
        <v>51</v>
      </c>
      <c r="K94" t="s">
        <v>50</v>
      </c>
      <c r="L94" t="s">
        <v>18</v>
      </c>
      <c r="M94" t="s">
        <v>11</v>
      </c>
      <c r="N94" t="str">
        <f t="shared" si="18"/>
        <v>Ref-Hi</v>
      </c>
      <c r="O94" t="str">
        <f t="shared" si="19"/>
        <v>N-25-1</v>
      </c>
      <c r="Q94">
        <f t="shared" si="25"/>
        <v>89</v>
      </c>
      <c r="R94" t="str">
        <f t="shared" si="20"/>
        <v>C25-1.</v>
      </c>
      <c r="S94" t="str">
        <f t="shared" si="21"/>
        <v>SHi.</v>
      </c>
      <c r="T94" t="str">
        <f t="shared" si="22"/>
        <v>ReRef.</v>
      </c>
      <c r="U94" t="str">
        <f t="shared" si="23"/>
        <v>NY.</v>
      </c>
      <c r="V94" t="str">
        <f t="shared" si="24"/>
        <v>RgN.</v>
      </c>
    </row>
    <row r="95" spans="1:22">
      <c r="A95">
        <v>1</v>
      </c>
      <c r="B95" t="str">
        <f t="shared" si="13"/>
        <v>IEMM~090</v>
      </c>
      <c r="C95" t="str">
        <f t="shared" si="14"/>
        <v>C50-1.SHi.ReRef.NY.RgN.</v>
      </c>
      <c r="D95" t="str">
        <f t="shared" si="15"/>
        <v>C50-1.SHi.ReRef.NY.RgN.</v>
      </c>
      <c r="E95" t="str">
        <f t="shared" si="16"/>
        <v>C50-1.SHi.ReRef.NY.RgN.</v>
      </c>
      <c r="H95" t="str">
        <f t="shared" si="17"/>
        <v>C50-1.SHi.ReRef.NY.RgN.</v>
      </c>
      <c r="I95" t="s">
        <v>63</v>
      </c>
      <c r="J95" t="s">
        <v>51</v>
      </c>
      <c r="K95" t="s">
        <v>50</v>
      </c>
      <c r="L95" t="s">
        <v>18</v>
      </c>
      <c r="M95" t="s">
        <v>11</v>
      </c>
      <c r="N95" t="str">
        <f t="shared" si="18"/>
        <v>Ref-Hi</v>
      </c>
      <c r="O95" t="str">
        <f t="shared" si="19"/>
        <v>N-50-1</v>
      </c>
      <c r="Q95">
        <f t="shared" si="25"/>
        <v>90</v>
      </c>
      <c r="R95" t="str">
        <f t="shared" si="20"/>
        <v>C50-1.</v>
      </c>
      <c r="S95" t="str">
        <f t="shared" si="21"/>
        <v>SHi.</v>
      </c>
      <c r="T95" t="str">
        <f t="shared" si="22"/>
        <v>ReRef.</v>
      </c>
      <c r="U95" t="str">
        <f t="shared" si="23"/>
        <v>NY.</v>
      </c>
      <c r="V95" t="str">
        <f t="shared" si="24"/>
        <v>RgN.</v>
      </c>
    </row>
    <row r="96" spans="1:22">
      <c r="A96">
        <v>1</v>
      </c>
      <c r="B96" t="str">
        <f t="shared" si="13"/>
        <v>IEMM~091</v>
      </c>
      <c r="C96" t="str">
        <f t="shared" si="14"/>
        <v>CRef.SRef.ReLo.NY.RgN.</v>
      </c>
      <c r="D96" t="str">
        <f t="shared" si="15"/>
        <v>CRef.SRef.ReLo.NY.RgN.</v>
      </c>
      <c r="E96" t="str">
        <f t="shared" si="16"/>
        <v>CRef.SRef.ReLo.NY.RgN.</v>
      </c>
      <c r="H96" t="str">
        <f t="shared" si="17"/>
        <v>CRef.SRef.ReLo.NY.RgN.</v>
      </c>
      <c r="I96" t="s">
        <v>50</v>
      </c>
      <c r="J96" t="s">
        <v>50</v>
      </c>
      <c r="K96" t="s">
        <v>52</v>
      </c>
      <c r="L96" t="s">
        <v>18</v>
      </c>
      <c r="M96" t="s">
        <v>11</v>
      </c>
      <c r="N96" t="str">
        <f t="shared" si="18"/>
        <v>Lo-Ref</v>
      </c>
      <c r="O96" t="str">
        <f t="shared" si="19"/>
        <v>N-Ref</v>
      </c>
      <c r="Q96">
        <f t="shared" si="25"/>
        <v>91</v>
      </c>
      <c r="R96" t="str">
        <f t="shared" si="20"/>
        <v>CRef.</v>
      </c>
      <c r="S96" t="str">
        <f t="shared" si="21"/>
        <v>SRef.</v>
      </c>
      <c r="T96" t="str">
        <f t="shared" si="22"/>
        <v>ReLo.</v>
      </c>
      <c r="U96" t="str">
        <f t="shared" si="23"/>
        <v>NY.</v>
      </c>
      <c r="V96" t="str">
        <f t="shared" si="24"/>
        <v>RgN.</v>
      </c>
    </row>
    <row r="97" spans="1:22">
      <c r="A97">
        <v>1</v>
      </c>
      <c r="B97" t="str">
        <f t="shared" si="13"/>
        <v>IEMM~092</v>
      </c>
      <c r="C97" t="str">
        <f t="shared" si="14"/>
        <v>CCap.SRef.ReLo.NY.RgN.</v>
      </c>
      <c r="D97" t="str">
        <f t="shared" si="15"/>
        <v>CCap.SRef.ReLo.NY.RgN.</v>
      </c>
      <c r="E97" t="str">
        <f t="shared" si="16"/>
        <v>CCap.SRef.ReLo.NY.RgN.</v>
      </c>
      <c r="H97" t="str">
        <f t="shared" si="17"/>
        <v>CCap.SRef.ReLo.NY.RgN.</v>
      </c>
      <c r="I97" t="s">
        <v>59</v>
      </c>
      <c r="J97" t="s">
        <v>50</v>
      </c>
      <c r="K97" t="s">
        <v>52</v>
      </c>
      <c r="L97" t="s">
        <v>18</v>
      </c>
      <c r="M97" t="s">
        <v>11</v>
      </c>
      <c r="N97" t="str">
        <f t="shared" si="18"/>
        <v>Lo-Ref</v>
      </c>
      <c r="O97" t="str">
        <f t="shared" si="19"/>
        <v>N-Cap</v>
      </c>
      <c r="Q97">
        <f t="shared" si="25"/>
        <v>92</v>
      </c>
      <c r="R97" t="str">
        <f t="shared" si="20"/>
        <v>CCap.</v>
      </c>
      <c r="S97" t="str">
        <f t="shared" si="21"/>
        <v>SRef.</v>
      </c>
      <c r="T97" t="str">
        <f t="shared" si="22"/>
        <v>ReLo.</v>
      </c>
      <c r="U97" t="str">
        <f t="shared" si="23"/>
        <v>NY.</v>
      </c>
      <c r="V97" t="str">
        <f t="shared" si="24"/>
        <v>RgN.</v>
      </c>
    </row>
    <row r="98" spans="1:22">
      <c r="A98">
        <v>1</v>
      </c>
      <c r="B98" t="str">
        <f t="shared" si="13"/>
        <v>IEMM~093</v>
      </c>
      <c r="C98" t="str">
        <f t="shared" si="14"/>
        <v>C25-5.SRef.ReLo.NY.RgN.</v>
      </c>
      <c r="D98" t="str">
        <f t="shared" si="15"/>
        <v>C25-5.SRef.ReLo.NY.RgN.</v>
      </c>
      <c r="E98" t="str">
        <f t="shared" si="16"/>
        <v>C25-5.SRef.ReLo.NY.RgN.</v>
      </c>
      <c r="H98" t="str">
        <f t="shared" si="17"/>
        <v>C25-5.SRef.ReLo.NY.RgN.</v>
      </c>
      <c r="I98" t="s">
        <v>60</v>
      </c>
      <c r="J98" t="s">
        <v>50</v>
      </c>
      <c r="K98" t="s">
        <v>52</v>
      </c>
      <c r="L98" t="s">
        <v>18</v>
      </c>
      <c r="M98" t="s">
        <v>11</v>
      </c>
      <c r="N98" t="str">
        <f t="shared" si="18"/>
        <v>Lo-Ref</v>
      </c>
      <c r="O98" t="str">
        <f t="shared" si="19"/>
        <v>N-25-5</v>
      </c>
      <c r="Q98">
        <f t="shared" si="25"/>
        <v>93</v>
      </c>
      <c r="R98" t="str">
        <f t="shared" si="20"/>
        <v>C25-5.</v>
      </c>
      <c r="S98" t="str">
        <f t="shared" si="21"/>
        <v>SRef.</v>
      </c>
      <c r="T98" t="str">
        <f t="shared" si="22"/>
        <v>ReLo.</v>
      </c>
      <c r="U98" t="str">
        <f t="shared" si="23"/>
        <v>NY.</v>
      </c>
      <c r="V98" t="str">
        <f t="shared" si="24"/>
        <v>RgN.</v>
      </c>
    </row>
    <row r="99" spans="1:22">
      <c r="A99">
        <v>1</v>
      </c>
      <c r="B99" t="str">
        <f t="shared" si="13"/>
        <v>IEMM~094</v>
      </c>
      <c r="C99" t="str">
        <f t="shared" si="14"/>
        <v>C50-5.SRef.ReLo.NY.RgN.</v>
      </c>
      <c r="D99" t="str">
        <f t="shared" si="15"/>
        <v>C50-5.SRef.ReLo.NY.RgN.</v>
      </c>
      <c r="E99" t="str">
        <f t="shared" si="16"/>
        <v>C50-5.SRef.ReLo.NY.RgN.</v>
      </c>
      <c r="H99" t="str">
        <f t="shared" si="17"/>
        <v>C50-5.SRef.ReLo.NY.RgN.</v>
      </c>
      <c r="I99" t="s">
        <v>61</v>
      </c>
      <c r="J99" t="s">
        <v>50</v>
      </c>
      <c r="K99" t="s">
        <v>52</v>
      </c>
      <c r="L99" t="s">
        <v>18</v>
      </c>
      <c r="M99" t="s">
        <v>11</v>
      </c>
      <c r="N99" t="str">
        <f t="shared" si="18"/>
        <v>Lo-Ref</v>
      </c>
      <c r="O99" t="str">
        <f t="shared" si="19"/>
        <v>N-50-5</v>
      </c>
      <c r="Q99">
        <f t="shared" si="25"/>
        <v>94</v>
      </c>
      <c r="R99" t="str">
        <f t="shared" si="20"/>
        <v>C50-5.</v>
      </c>
      <c r="S99" t="str">
        <f t="shared" si="21"/>
        <v>SRef.</v>
      </c>
      <c r="T99" t="str">
        <f t="shared" si="22"/>
        <v>ReLo.</v>
      </c>
      <c r="U99" t="str">
        <f t="shared" si="23"/>
        <v>NY.</v>
      </c>
      <c r="V99" t="str">
        <f t="shared" si="24"/>
        <v>RgN.</v>
      </c>
    </row>
    <row r="100" spans="1:22">
      <c r="A100">
        <v>1</v>
      </c>
      <c r="B100" t="str">
        <f t="shared" si="13"/>
        <v>IEMM~095</v>
      </c>
      <c r="C100" t="str">
        <f t="shared" si="14"/>
        <v>C25-1.SRef.ReLo.NY.RgN.</v>
      </c>
      <c r="D100" t="str">
        <f t="shared" si="15"/>
        <v>C25-1.SRef.ReLo.NY.RgN.</v>
      </c>
      <c r="E100" t="str">
        <f t="shared" si="16"/>
        <v>C25-1.SRef.ReLo.NY.RgN.</v>
      </c>
      <c r="H100" t="str">
        <f t="shared" si="17"/>
        <v>C25-1.SRef.ReLo.NY.RgN.</v>
      </c>
      <c r="I100" t="s">
        <v>62</v>
      </c>
      <c r="J100" t="s">
        <v>50</v>
      </c>
      <c r="K100" t="s">
        <v>52</v>
      </c>
      <c r="L100" t="s">
        <v>18</v>
      </c>
      <c r="M100" t="s">
        <v>11</v>
      </c>
      <c r="N100" t="str">
        <f t="shared" si="18"/>
        <v>Lo-Ref</v>
      </c>
      <c r="O100" t="str">
        <f t="shared" si="19"/>
        <v>N-25-1</v>
      </c>
      <c r="Q100">
        <f t="shared" si="25"/>
        <v>95</v>
      </c>
      <c r="R100" t="str">
        <f t="shared" si="20"/>
        <v>C25-1.</v>
      </c>
      <c r="S100" t="str">
        <f t="shared" si="21"/>
        <v>SRef.</v>
      </c>
      <c r="T100" t="str">
        <f t="shared" si="22"/>
        <v>ReLo.</v>
      </c>
      <c r="U100" t="str">
        <f t="shared" si="23"/>
        <v>NY.</v>
      </c>
      <c r="V100" t="str">
        <f t="shared" si="24"/>
        <v>RgN.</v>
      </c>
    </row>
    <row r="101" spans="1:22">
      <c r="A101">
        <v>1</v>
      </c>
      <c r="B101" t="str">
        <f t="shared" si="13"/>
        <v>IEMM~096</v>
      </c>
      <c r="C101" t="str">
        <f t="shared" si="14"/>
        <v>C50-1.SRef.ReLo.NY.RgN.</v>
      </c>
      <c r="D101" t="str">
        <f t="shared" si="15"/>
        <v>C50-1.SRef.ReLo.NY.RgN.</v>
      </c>
      <c r="E101" t="str">
        <f t="shared" si="16"/>
        <v>C50-1.SRef.ReLo.NY.RgN.</v>
      </c>
      <c r="H101" t="str">
        <f t="shared" si="17"/>
        <v>C50-1.SRef.ReLo.NY.RgN.</v>
      </c>
      <c r="I101" t="s">
        <v>63</v>
      </c>
      <c r="J101" t="s">
        <v>50</v>
      </c>
      <c r="K101" t="s">
        <v>52</v>
      </c>
      <c r="L101" t="s">
        <v>18</v>
      </c>
      <c r="M101" t="s">
        <v>11</v>
      </c>
      <c r="N101" t="str">
        <f t="shared" si="18"/>
        <v>Lo-Ref</v>
      </c>
      <c r="O101" t="str">
        <f t="shared" si="19"/>
        <v>N-50-1</v>
      </c>
      <c r="Q101">
        <f t="shared" si="25"/>
        <v>96</v>
      </c>
      <c r="R101" t="str">
        <f t="shared" si="20"/>
        <v>C50-1.</v>
      </c>
      <c r="S101" t="str">
        <f t="shared" si="21"/>
        <v>SRef.</v>
      </c>
      <c r="T101" t="str">
        <f t="shared" si="22"/>
        <v>ReLo.</v>
      </c>
      <c r="U101" t="str">
        <f t="shared" si="23"/>
        <v>NY.</v>
      </c>
      <c r="V101" t="str">
        <f t="shared" si="24"/>
        <v>RgN.</v>
      </c>
    </row>
    <row r="102" spans="1:22">
      <c r="A102">
        <v>1</v>
      </c>
      <c r="B102" t="str">
        <f t="shared" si="13"/>
        <v>IEMM~097</v>
      </c>
      <c r="C102" t="str">
        <f t="shared" si="14"/>
        <v>CRef.SLo.ReLo.NY.RgN.</v>
      </c>
      <c r="D102" t="str">
        <f t="shared" si="15"/>
        <v>CRef.SLo.ReLo.NY.RgN.</v>
      </c>
      <c r="E102" t="str">
        <f t="shared" si="16"/>
        <v>CRef.SLo.ReLo.NY.RgN.</v>
      </c>
      <c r="H102" t="str">
        <f t="shared" si="17"/>
        <v>CRef.SLo.ReLo.NY.RgN.</v>
      </c>
      <c r="I102" t="s">
        <v>50</v>
      </c>
      <c r="J102" t="s">
        <v>52</v>
      </c>
      <c r="K102" t="s">
        <v>52</v>
      </c>
      <c r="L102" t="s">
        <v>18</v>
      </c>
      <c r="M102" t="s">
        <v>11</v>
      </c>
      <c r="N102" t="str">
        <f t="shared" si="18"/>
        <v>Lo-Lo</v>
      </c>
      <c r="O102" t="str">
        <f t="shared" si="19"/>
        <v>N-Ref</v>
      </c>
      <c r="Q102">
        <f t="shared" si="25"/>
        <v>97</v>
      </c>
      <c r="R102" t="str">
        <f t="shared" si="20"/>
        <v>CRef.</v>
      </c>
      <c r="S102" t="str">
        <f t="shared" si="21"/>
        <v>SLo.</v>
      </c>
      <c r="T102" t="str">
        <f t="shared" si="22"/>
        <v>ReLo.</v>
      </c>
      <c r="U102" t="str">
        <f t="shared" si="23"/>
        <v>NY.</v>
      </c>
      <c r="V102" t="str">
        <f t="shared" si="24"/>
        <v>RgN.</v>
      </c>
    </row>
    <row r="103" spans="1:22">
      <c r="A103">
        <v>1</v>
      </c>
      <c r="B103" t="str">
        <f t="shared" si="13"/>
        <v>IEMM~098</v>
      </c>
      <c r="C103" t="str">
        <f t="shared" si="14"/>
        <v>CCap.SLo.ReLo.NY.RgN.</v>
      </c>
      <c r="D103" t="str">
        <f t="shared" si="15"/>
        <v>CCap.SLo.ReLo.NY.RgN.</v>
      </c>
      <c r="E103" t="str">
        <f t="shared" si="16"/>
        <v>CCap.SLo.ReLo.NY.RgN.</v>
      </c>
      <c r="H103" t="str">
        <f t="shared" si="17"/>
        <v>CCap.SLo.ReLo.NY.RgN.</v>
      </c>
      <c r="I103" t="s">
        <v>59</v>
      </c>
      <c r="J103" t="s">
        <v>52</v>
      </c>
      <c r="K103" t="s">
        <v>52</v>
      </c>
      <c r="L103" t="s">
        <v>18</v>
      </c>
      <c r="M103" t="s">
        <v>11</v>
      </c>
      <c r="N103" t="str">
        <f t="shared" si="18"/>
        <v>Lo-Lo</v>
      </c>
      <c r="O103" t="str">
        <f t="shared" si="19"/>
        <v>N-Cap</v>
      </c>
      <c r="Q103">
        <f t="shared" si="25"/>
        <v>98</v>
      </c>
      <c r="R103" t="str">
        <f t="shared" si="20"/>
        <v>CCap.</v>
      </c>
      <c r="S103" t="str">
        <f t="shared" si="21"/>
        <v>SLo.</v>
      </c>
      <c r="T103" t="str">
        <f t="shared" si="22"/>
        <v>ReLo.</v>
      </c>
      <c r="U103" t="str">
        <f t="shared" si="23"/>
        <v>NY.</v>
      </c>
      <c r="V103" t="str">
        <f t="shared" si="24"/>
        <v>RgN.</v>
      </c>
    </row>
    <row r="104" spans="1:22">
      <c r="A104">
        <v>1</v>
      </c>
      <c r="B104" t="str">
        <f t="shared" si="13"/>
        <v>IEMM~099</v>
      </c>
      <c r="C104" t="str">
        <f t="shared" si="14"/>
        <v>C25-5.SLo.ReLo.NY.RgN.</v>
      </c>
      <c r="D104" t="str">
        <f t="shared" si="15"/>
        <v>C25-5.SLo.ReLo.NY.RgN.</v>
      </c>
      <c r="E104" t="str">
        <f t="shared" si="16"/>
        <v>C25-5.SLo.ReLo.NY.RgN.</v>
      </c>
      <c r="H104" t="str">
        <f t="shared" si="17"/>
        <v>C25-5.SLo.ReLo.NY.RgN.</v>
      </c>
      <c r="I104" t="s">
        <v>60</v>
      </c>
      <c r="J104" t="s">
        <v>52</v>
      </c>
      <c r="K104" t="s">
        <v>52</v>
      </c>
      <c r="L104" t="s">
        <v>18</v>
      </c>
      <c r="M104" t="s">
        <v>11</v>
      </c>
      <c r="N104" t="str">
        <f t="shared" si="18"/>
        <v>Lo-Lo</v>
      </c>
      <c r="O104" t="str">
        <f t="shared" si="19"/>
        <v>N-25-5</v>
      </c>
      <c r="Q104">
        <f t="shared" si="25"/>
        <v>99</v>
      </c>
      <c r="R104" t="str">
        <f t="shared" si="20"/>
        <v>C25-5.</v>
      </c>
      <c r="S104" t="str">
        <f t="shared" si="21"/>
        <v>SLo.</v>
      </c>
      <c r="T104" t="str">
        <f t="shared" si="22"/>
        <v>ReLo.</v>
      </c>
      <c r="U104" t="str">
        <f t="shared" si="23"/>
        <v>NY.</v>
      </c>
      <c r="V104" t="str">
        <f t="shared" si="24"/>
        <v>RgN.</v>
      </c>
    </row>
    <row r="105" spans="1:22">
      <c r="A105">
        <v>1</v>
      </c>
      <c r="B105" t="str">
        <f t="shared" si="13"/>
        <v>IEMM~100</v>
      </c>
      <c r="C105" t="str">
        <f t="shared" si="14"/>
        <v>C50-5.SLo.ReLo.NY.RgN.</v>
      </c>
      <c r="D105" t="str">
        <f t="shared" si="15"/>
        <v>C50-5.SLo.ReLo.NY.RgN.</v>
      </c>
      <c r="E105" t="str">
        <f t="shared" si="16"/>
        <v>C50-5.SLo.ReLo.NY.RgN.</v>
      </c>
      <c r="H105" t="str">
        <f t="shared" si="17"/>
        <v>C50-5.SLo.ReLo.NY.RgN.</v>
      </c>
      <c r="I105" t="s">
        <v>61</v>
      </c>
      <c r="J105" t="s">
        <v>52</v>
      </c>
      <c r="K105" t="s">
        <v>52</v>
      </c>
      <c r="L105" t="s">
        <v>18</v>
      </c>
      <c r="M105" t="s">
        <v>11</v>
      </c>
      <c r="N105" t="str">
        <f t="shared" si="18"/>
        <v>Lo-Lo</v>
      </c>
      <c r="O105" t="str">
        <f t="shared" si="19"/>
        <v>N-50-5</v>
      </c>
      <c r="Q105">
        <f t="shared" si="25"/>
        <v>100</v>
      </c>
      <c r="R105" t="str">
        <f t="shared" si="20"/>
        <v>C50-5.</v>
      </c>
      <c r="S105" t="str">
        <f t="shared" si="21"/>
        <v>SLo.</v>
      </c>
      <c r="T105" t="str">
        <f t="shared" si="22"/>
        <v>ReLo.</v>
      </c>
      <c r="U105" t="str">
        <f t="shared" si="23"/>
        <v>NY.</v>
      </c>
      <c r="V105" t="str">
        <f t="shared" si="24"/>
        <v>RgN.</v>
      </c>
    </row>
    <row r="106" spans="1:22">
      <c r="A106">
        <v>1</v>
      </c>
      <c r="B106" t="str">
        <f t="shared" ref="B106:B149" si="26">$B$1&amp;"~"&amp;TEXT(Q106,"000")</f>
        <v>IEMM~101</v>
      </c>
      <c r="C106" t="str">
        <f t="shared" ref="C106:C149" si="27">H106</f>
        <v>C25-1.SLo.ReLo.NY.RgN.</v>
      </c>
      <c r="D106" t="str">
        <f t="shared" ref="D106:D149" si="28">C106</f>
        <v>C25-1.SLo.ReLo.NY.RgN.</v>
      </c>
      <c r="E106" t="str">
        <f t="shared" ref="E106:E149" si="29">D106</f>
        <v>C25-1.SLo.ReLo.NY.RgN.</v>
      </c>
      <c r="H106" t="str">
        <f t="shared" si="17"/>
        <v>C25-1.SLo.ReLo.NY.RgN.</v>
      </c>
      <c r="I106" t="s">
        <v>62</v>
      </c>
      <c r="J106" t="s">
        <v>52</v>
      </c>
      <c r="K106" t="s">
        <v>52</v>
      </c>
      <c r="L106" t="s">
        <v>18</v>
      </c>
      <c r="M106" t="s">
        <v>11</v>
      </c>
      <c r="N106" t="str">
        <f t="shared" si="18"/>
        <v>Lo-Lo</v>
      </c>
      <c r="O106" t="str">
        <f t="shared" si="19"/>
        <v>N-25-1</v>
      </c>
      <c r="Q106">
        <f t="shared" si="25"/>
        <v>101</v>
      </c>
      <c r="R106" t="str">
        <f t="shared" ref="R106:R149" si="30">I$1&amp;I106&amp;"."</f>
        <v>C25-1.</v>
      </c>
      <c r="S106" t="str">
        <f t="shared" ref="S106:S149" si="31">J$1&amp;J106&amp;"."</f>
        <v>SLo.</v>
      </c>
      <c r="T106" t="str">
        <f t="shared" ref="T106:T149" si="32">K$1&amp;K106&amp;"."</f>
        <v>ReLo.</v>
      </c>
      <c r="U106" t="str">
        <f t="shared" ref="U106:U149" si="33">L$1&amp;L106&amp;"."</f>
        <v>NY.</v>
      </c>
      <c r="V106" t="str">
        <f t="shared" ref="V106:V149" si="34">M$1&amp;M106&amp;"."</f>
        <v>RgN.</v>
      </c>
    </row>
    <row r="107" spans="1:22">
      <c r="A107">
        <v>1</v>
      </c>
      <c r="B107" t="str">
        <f t="shared" si="26"/>
        <v>IEMM~102</v>
      </c>
      <c r="C107" t="str">
        <f t="shared" si="27"/>
        <v>C50-1.SLo.ReLo.NY.RgN.</v>
      </c>
      <c r="D107" t="str">
        <f t="shared" si="28"/>
        <v>C50-1.SLo.ReLo.NY.RgN.</v>
      </c>
      <c r="E107" t="str">
        <f t="shared" si="29"/>
        <v>C50-1.SLo.ReLo.NY.RgN.</v>
      </c>
      <c r="H107" t="str">
        <f t="shared" si="17"/>
        <v>C50-1.SLo.ReLo.NY.RgN.</v>
      </c>
      <c r="I107" t="s">
        <v>63</v>
      </c>
      <c r="J107" t="s">
        <v>52</v>
      </c>
      <c r="K107" t="s">
        <v>52</v>
      </c>
      <c r="L107" t="s">
        <v>18</v>
      </c>
      <c r="M107" t="s">
        <v>11</v>
      </c>
      <c r="N107" t="str">
        <f t="shared" si="18"/>
        <v>Lo-Lo</v>
      </c>
      <c r="O107" t="str">
        <f t="shared" si="19"/>
        <v>N-50-1</v>
      </c>
      <c r="Q107">
        <f t="shared" si="25"/>
        <v>102</v>
      </c>
      <c r="R107" t="str">
        <f t="shared" si="30"/>
        <v>C50-1.</v>
      </c>
      <c r="S107" t="str">
        <f t="shared" si="31"/>
        <v>SLo.</v>
      </c>
      <c r="T107" t="str">
        <f t="shared" si="32"/>
        <v>ReLo.</v>
      </c>
      <c r="U107" t="str">
        <f t="shared" si="33"/>
        <v>NY.</v>
      </c>
      <c r="V107" t="str">
        <f t="shared" si="34"/>
        <v>RgN.</v>
      </c>
    </row>
    <row r="108" spans="1:22">
      <c r="A108">
        <v>1</v>
      </c>
      <c r="B108" t="str">
        <f t="shared" si="26"/>
        <v>IEMM~103</v>
      </c>
      <c r="C108" t="str">
        <f t="shared" si="27"/>
        <v>CRef.SHi.ReLo.NY.RgN.</v>
      </c>
      <c r="D108" t="str">
        <f t="shared" si="28"/>
        <v>CRef.SHi.ReLo.NY.RgN.</v>
      </c>
      <c r="E108" t="str">
        <f t="shared" si="29"/>
        <v>CRef.SHi.ReLo.NY.RgN.</v>
      </c>
      <c r="H108" t="str">
        <f t="shared" si="17"/>
        <v>CRef.SHi.ReLo.NY.RgN.</v>
      </c>
      <c r="I108" t="s">
        <v>50</v>
      </c>
      <c r="J108" t="s">
        <v>51</v>
      </c>
      <c r="K108" t="s">
        <v>52</v>
      </c>
      <c r="L108" t="s">
        <v>18</v>
      </c>
      <c r="M108" t="s">
        <v>11</v>
      </c>
      <c r="N108" t="str">
        <f t="shared" si="18"/>
        <v>Lo-Hi</v>
      </c>
      <c r="O108" t="str">
        <f t="shared" si="19"/>
        <v>N-Ref</v>
      </c>
      <c r="Q108">
        <f t="shared" si="25"/>
        <v>103</v>
      </c>
      <c r="R108" t="str">
        <f t="shared" si="30"/>
        <v>CRef.</v>
      </c>
      <c r="S108" t="str">
        <f t="shared" si="31"/>
        <v>SHi.</v>
      </c>
      <c r="T108" t="str">
        <f t="shared" si="32"/>
        <v>ReLo.</v>
      </c>
      <c r="U108" t="str">
        <f t="shared" si="33"/>
        <v>NY.</v>
      </c>
      <c r="V108" t="str">
        <f t="shared" si="34"/>
        <v>RgN.</v>
      </c>
    </row>
    <row r="109" spans="1:22">
      <c r="A109">
        <v>1</v>
      </c>
      <c r="B109" t="str">
        <f t="shared" si="26"/>
        <v>IEMM~104</v>
      </c>
      <c r="C109" t="str">
        <f t="shared" si="27"/>
        <v>CCap.SHi.ReLo.NY.RgN.</v>
      </c>
      <c r="D109" t="str">
        <f t="shared" si="28"/>
        <v>CCap.SHi.ReLo.NY.RgN.</v>
      </c>
      <c r="E109" t="str">
        <f t="shared" si="29"/>
        <v>CCap.SHi.ReLo.NY.RgN.</v>
      </c>
      <c r="H109" t="str">
        <f t="shared" si="17"/>
        <v>CCap.SHi.ReLo.NY.RgN.</v>
      </c>
      <c r="I109" t="s">
        <v>59</v>
      </c>
      <c r="J109" t="s">
        <v>51</v>
      </c>
      <c r="K109" t="s">
        <v>52</v>
      </c>
      <c r="L109" t="s">
        <v>18</v>
      </c>
      <c r="M109" t="s">
        <v>11</v>
      </c>
      <c r="N109" t="str">
        <f t="shared" si="18"/>
        <v>Lo-Hi</v>
      </c>
      <c r="O109" t="str">
        <f t="shared" si="19"/>
        <v>N-Cap</v>
      </c>
      <c r="Q109">
        <f t="shared" si="25"/>
        <v>104</v>
      </c>
      <c r="R109" t="str">
        <f t="shared" si="30"/>
        <v>CCap.</v>
      </c>
      <c r="S109" t="str">
        <f t="shared" si="31"/>
        <v>SHi.</v>
      </c>
      <c r="T109" t="str">
        <f t="shared" si="32"/>
        <v>ReLo.</v>
      </c>
      <c r="U109" t="str">
        <f t="shared" si="33"/>
        <v>NY.</v>
      </c>
      <c r="V109" t="str">
        <f t="shared" si="34"/>
        <v>RgN.</v>
      </c>
    </row>
    <row r="110" spans="1:22">
      <c r="A110">
        <v>1</v>
      </c>
      <c r="B110" t="str">
        <f t="shared" si="26"/>
        <v>IEMM~105</v>
      </c>
      <c r="C110" t="str">
        <f t="shared" si="27"/>
        <v>C25-5.SHi.ReLo.NY.RgN.</v>
      </c>
      <c r="D110" t="str">
        <f t="shared" si="28"/>
        <v>C25-5.SHi.ReLo.NY.RgN.</v>
      </c>
      <c r="E110" t="str">
        <f t="shared" si="29"/>
        <v>C25-5.SHi.ReLo.NY.RgN.</v>
      </c>
      <c r="H110" t="str">
        <f t="shared" si="17"/>
        <v>C25-5.SHi.ReLo.NY.RgN.</v>
      </c>
      <c r="I110" t="s">
        <v>60</v>
      </c>
      <c r="J110" t="s">
        <v>51</v>
      </c>
      <c r="K110" t="s">
        <v>52</v>
      </c>
      <c r="L110" t="s">
        <v>18</v>
      </c>
      <c r="M110" t="s">
        <v>11</v>
      </c>
      <c r="N110" t="str">
        <f t="shared" si="18"/>
        <v>Lo-Hi</v>
      </c>
      <c r="O110" t="str">
        <f t="shared" si="19"/>
        <v>N-25-5</v>
      </c>
      <c r="Q110">
        <f t="shared" si="25"/>
        <v>105</v>
      </c>
      <c r="R110" t="str">
        <f t="shared" si="30"/>
        <v>C25-5.</v>
      </c>
      <c r="S110" t="str">
        <f t="shared" si="31"/>
        <v>SHi.</v>
      </c>
      <c r="T110" t="str">
        <f t="shared" si="32"/>
        <v>ReLo.</v>
      </c>
      <c r="U110" t="str">
        <f t="shared" si="33"/>
        <v>NY.</v>
      </c>
      <c r="V110" t="str">
        <f t="shared" si="34"/>
        <v>RgN.</v>
      </c>
    </row>
    <row r="111" spans="1:22">
      <c r="A111">
        <v>1</v>
      </c>
      <c r="B111" t="str">
        <f t="shared" si="26"/>
        <v>IEMM~106</v>
      </c>
      <c r="C111" t="str">
        <f t="shared" si="27"/>
        <v>C50-5.SHi.ReLo.NY.RgN.</v>
      </c>
      <c r="D111" t="str">
        <f t="shared" si="28"/>
        <v>C50-5.SHi.ReLo.NY.RgN.</v>
      </c>
      <c r="E111" t="str">
        <f t="shared" si="29"/>
        <v>C50-5.SHi.ReLo.NY.RgN.</v>
      </c>
      <c r="H111" t="str">
        <f t="shared" si="17"/>
        <v>C50-5.SHi.ReLo.NY.RgN.</v>
      </c>
      <c r="I111" t="s">
        <v>61</v>
      </c>
      <c r="J111" t="s">
        <v>51</v>
      </c>
      <c r="K111" t="s">
        <v>52</v>
      </c>
      <c r="L111" t="s">
        <v>18</v>
      </c>
      <c r="M111" t="s">
        <v>11</v>
      </c>
      <c r="N111" t="str">
        <f t="shared" si="18"/>
        <v>Lo-Hi</v>
      </c>
      <c r="O111" t="str">
        <f t="shared" si="19"/>
        <v>N-50-5</v>
      </c>
      <c r="Q111">
        <f t="shared" si="25"/>
        <v>106</v>
      </c>
      <c r="R111" t="str">
        <f t="shared" si="30"/>
        <v>C50-5.</v>
      </c>
      <c r="S111" t="str">
        <f t="shared" si="31"/>
        <v>SHi.</v>
      </c>
      <c r="T111" t="str">
        <f t="shared" si="32"/>
        <v>ReLo.</v>
      </c>
      <c r="U111" t="str">
        <f t="shared" si="33"/>
        <v>NY.</v>
      </c>
      <c r="V111" t="str">
        <f t="shared" si="34"/>
        <v>RgN.</v>
      </c>
    </row>
    <row r="112" spans="1:22">
      <c r="A112">
        <v>1</v>
      </c>
      <c r="B112" t="str">
        <f t="shared" si="26"/>
        <v>IEMM~107</v>
      </c>
      <c r="C112" t="str">
        <f t="shared" si="27"/>
        <v>C25-1.SHi.ReLo.NY.RgN.</v>
      </c>
      <c r="D112" t="str">
        <f t="shared" si="28"/>
        <v>C25-1.SHi.ReLo.NY.RgN.</v>
      </c>
      <c r="E112" t="str">
        <f t="shared" si="29"/>
        <v>C25-1.SHi.ReLo.NY.RgN.</v>
      </c>
      <c r="H112" t="str">
        <f t="shared" si="17"/>
        <v>C25-1.SHi.ReLo.NY.RgN.</v>
      </c>
      <c r="I112" t="s">
        <v>62</v>
      </c>
      <c r="J112" t="s">
        <v>51</v>
      </c>
      <c r="K112" t="s">
        <v>52</v>
      </c>
      <c r="L112" t="s">
        <v>18</v>
      </c>
      <c r="M112" t="s">
        <v>11</v>
      </c>
      <c r="N112" t="str">
        <f t="shared" si="18"/>
        <v>Lo-Hi</v>
      </c>
      <c r="O112" t="str">
        <f t="shared" si="19"/>
        <v>N-25-1</v>
      </c>
      <c r="Q112">
        <f t="shared" si="25"/>
        <v>107</v>
      </c>
      <c r="R112" t="str">
        <f t="shared" si="30"/>
        <v>C25-1.</v>
      </c>
      <c r="S112" t="str">
        <f t="shared" si="31"/>
        <v>SHi.</v>
      </c>
      <c r="T112" t="str">
        <f t="shared" si="32"/>
        <v>ReLo.</v>
      </c>
      <c r="U112" t="str">
        <f t="shared" si="33"/>
        <v>NY.</v>
      </c>
      <c r="V112" t="str">
        <f t="shared" si="34"/>
        <v>RgN.</v>
      </c>
    </row>
    <row r="113" spans="1:22">
      <c r="A113">
        <v>1</v>
      </c>
      <c r="B113" t="str">
        <f t="shared" si="26"/>
        <v>IEMM~108</v>
      </c>
      <c r="C113" t="str">
        <f t="shared" si="27"/>
        <v>C50-1.SHi.ReLo.NY.RgN.</v>
      </c>
      <c r="D113" t="str">
        <f t="shared" si="28"/>
        <v>C50-1.SHi.ReLo.NY.RgN.</v>
      </c>
      <c r="E113" t="str">
        <f t="shared" si="29"/>
        <v>C50-1.SHi.ReLo.NY.RgN.</v>
      </c>
      <c r="H113" t="str">
        <f t="shared" si="17"/>
        <v>C50-1.SHi.ReLo.NY.RgN.</v>
      </c>
      <c r="I113" t="s">
        <v>63</v>
      </c>
      <c r="J113" t="s">
        <v>51</v>
      </c>
      <c r="K113" t="s">
        <v>52</v>
      </c>
      <c r="L113" t="s">
        <v>18</v>
      </c>
      <c r="M113" t="s">
        <v>11</v>
      </c>
      <c r="N113" t="str">
        <f t="shared" si="18"/>
        <v>Lo-Hi</v>
      </c>
      <c r="O113" t="str">
        <f t="shared" si="19"/>
        <v>N-50-1</v>
      </c>
      <c r="Q113">
        <f t="shared" si="25"/>
        <v>108</v>
      </c>
      <c r="R113" t="str">
        <f t="shared" si="30"/>
        <v>C50-1.</v>
      </c>
      <c r="S113" t="str">
        <f t="shared" si="31"/>
        <v>SHi.</v>
      </c>
      <c r="T113" t="str">
        <f t="shared" si="32"/>
        <v>ReLo.</v>
      </c>
      <c r="U113" t="str">
        <f t="shared" si="33"/>
        <v>NY.</v>
      </c>
      <c r="V113" t="str">
        <f t="shared" si="34"/>
        <v>RgN.</v>
      </c>
    </row>
    <row r="114" spans="1:22">
      <c r="A114">
        <v>1</v>
      </c>
      <c r="B114" t="str">
        <f t="shared" si="26"/>
        <v>IEMM~109</v>
      </c>
      <c r="C114" t="str">
        <f t="shared" si="27"/>
        <v>CRef.SRef.ReRef.NN.RgN.</v>
      </c>
      <c r="D114" t="str">
        <f t="shared" si="28"/>
        <v>CRef.SRef.ReRef.NN.RgN.</v>
      </c>
      <c r="E114" t="str">
        <f t="shared" si="29"/>
        <v>CRef.SRef.ReRef.NN.RgN.</v>
      </c>
      <c r="H114" t="str">
        <f t="shared" si="17"/>
        <v>CRef.SRef.ReRef.NN.RgN.</v>
      </c>
      <c r="I114" t="s">
        <v>50</v>
      </c>
      <c r="J114" t="s">
        <v>50</v>
      </c>
      <c r="K114" t="s">
        <v>50</v>
      </c>
      <c r="L114" t="s">
        <v>11</v>
      </c>
      <c r="M114" t="s">
        <v>11</v>
      </c>
      <c r="N114" t="str">
        <f t="shared" si="18"/>
        <v>Ref-Ref</v>
      </c>
      <c r="O114" t="str">
        <f t="shared" si="19"/>
        <v>N-Ref</v>
      </c>
      <c r="Q114">
        <f t="shared" si="25"/>
        <v>109</v>
      </c>
      <c r="R114" t="str">
        <f t="shared" si="30"/>
        <v>CRef.</v>
      </c>
      <c r="S114" t="str">
        <f t="shared" si="31"/>
        <v>SRef.</v>
      </c>
      <c r="T114" t="str">
        <f t="shared" si="32"/>
        <v>ReRef.</v>
      </c>
      <c r="U114" t="str">
        <f t="shared" si="33"/>
        <v>NN.</v>
      </c>
      <c r="V114" t="str">
        <f t="shared" si="34"/>
        <v>RgN.</v>
      </c>
    </row>
    <row r="115" spans="1:22">
      <c r="A115">
        <v>1</v>
      </c>
      <c r="B115" t="str">
        <f t="shared" si="26"/>
        <v>IEMM~110</v>
      </c>
      <c r="C115" t="str">
        <f t="shared" si="27"/>
        <v>CCap.SRef.ReRef.NN.RgN.</v>
      </c>
      <c r="D115" t="str">
        <f t="shared" si="28"/>
        <v>CCap.SRef.ReRef.NN.RgN.</v>
      </c>
      <c r="E115" t="str">
        <f t="shared" si="29"/>
        <v>CCap.SRef.ReRef.NN.RgN.</v>
      </c>
      <c r="H115" t="str">
        <f t="shared" si="17"/>
        <v>CCap.SRef.ReRef.NN.RgN.</v>
      </c>
      <c r="I115" t="s">
        <v>59</v>
      </c>
      <c r="J115" t="s">
        <v>50</v>
      </c>
      <c r="K115" t="s">
        <v>50</v>
      </c>
      <c r="L115" t="s">
        <v>11</v>
      </c>
      <c r="M115" t="s">
        <v>11</v>
      </c>
      <c r="N115" t="str">
        <f t="shared" si="18"/>
        <v>Ref-Ref</v>
      </c>
      <c r="O115" t="str">
        <f t="shared" si="19"/>
        <v>N-Cap</v>
      </c>
      <c r="Q115">
        <f t="shared" si="25"/>
        <v>110</v>
      </c>
      <c r="R115" t="str">
        <f t="shared" si="30"/>
        <v>CCap.</v>
      </c>
      <c r="S115" t="str">
        <f t="shared" si="31"/>
        <v>SRef.</v>
      </c>
      <c r="T115" t="str">
        <f t="shared" si="32"/>
        <v>ReRef.</v>
      </c>
      <c r="U115" t="str">
        <f t="shared" si="33"/>
        <v>NN.</v>
      </c>
      <c r="V115" t="str">
        <f t="shared" si="34"/>
        <v>RgN.</v>
      </c>
    </row>
    <row r="116" spans="1:22">
      <c r="A116">
        <v>1</v>
      </c>
      <c r="B116" t="str">
        <f t="shared" si="26"/>
        <v>IEMM~111</v>
      </c>
      <c r="C116" t="str">
        <f t="shared" si="27"/>
        <v>C25-5.SRef.ReRef.NN.RgN.</v>
      </c>
      <c r="D116" t="str">
        <f t="shared" si="28"/>
        <v>C25-5.SRef.ReRef.NN.RgN.</v>
      </c>
      <c r="E116" t="str">
        <f t="shared" si="29"/>
        <v>C25-5.SRef.ReRef.NN.RgN.</v>
      </c>
      <c r="H116" t="str">
        <f t="shared" si="17"/>
        <v>C25-5.SRef.ReRef.NN.RgN.</v>
      </c>
      <c r="I116" t="s">
        <v>60</v>
      </c>
      <c r="J116" t="s">
        <v>50</v>
      </c>
      <c r="K116" t="s">
        <v>50</v>
      </c>
      <c r="L116" t="s">
        <v>11</v>
      </c>
      <c r="M116" t="s">
        <v>11</v>
      </c>
      <c r="N116" t="str">
        <f t="shared" si="18"/>
        <v>Ref-Ref</v>
      </c>
      <c r="O116" t="str">
        <f t="shared" si="19"/>
        <v>N-25-5</v>
      </c>
      <c r="Q116">
        <f t="shared" si="25"/>
        <v>111</v>
      </c>
      <c r="R116" t="str">
        <f t="shared" si="30"/>
        <v>C25-5.</v>
      </c>
      <c r="S116" t="str">
        <f t="shared" si="31"/>
        <v>SRef.</v>
      </c>
      <c r="T116" t="str">
        <f t="shared" si="32"/>
        <v>ReRef.</v>
      </c>
      <c r="U116" t="str">
        <f t="shared" si="33"/>
        <v>NN.</v>
      </c>
      <c r="V116" t="str">
        <f t="shared" si="34"/>
        <v>RgN.</v>
      </c>
    </row>
    <row r="117" spans="1:22">
      <c r="A117">
        <v>1</v>
      </c>
      <c r="B117" t="str">
        <f t="shared" si="26"/>
        <v>IEMM~112</v>
      </c>
      <c r="C117" t="str">
        <f t="shared" si="27"/>
        <v>C50-5.SRef.ReRef.NN.RgN.</v>
      </c>
      <c r="D117" t="str">
        <f t="shared" si="28"/>
        <v>C50-5.SRef.ReRef.NN.RgN.</v>
      </c>
      <c r="E117" t="str">
        <f t="shared" si="29"/>
        <v>C50-5.SRef.ReRef.NN.RgN.</v>
      </c>
      <c r="H117" t="str">
        <f t="shared" si="17"/>
        <v>C50-5.SRef.ReRef.NN.RgN.</v>
      </c>
      <c r="I117" t="s">
        <v>61</v>
      </c>
      <c r="J117" t="s">
        <v>50</v>
      </c>
      <c r="K117" t="s">
        <v>50</v>
      </c>
      <c r="L117" t="s">
        <v>11</v>
      </c>
      <c r="M117" t="s">
        <v>11</v>
      </c>
      <c r="N117" t="str">
        <f t="shared" si="18"/>
        <v>Ref-Ref</v>
      </c>
      <c r="O117" t="str">
        <f t="shared" si="19"/>
        <v>N-50-5</v>
      </c>
      <c r="Q117">
        <f t="shared" si="25"/>
        <v>112</v>
      </c>
      <c r="R117" t="str">
        <f t="shared" si="30"/>
        <v>C50-5.</v>
      </c>
      <c r="S117" t="str">
        <f t="shared" si="31"/>
        <v>SRef.</v>
      </c>
      <c r="T117" t="str">
        <f t="shared" si="32"/>
        <v>ReRef.</v>
      </c>
      <c r="U117" t="str">
        <f t="shared" si="33"/>
        <v>NN.</v>
      </c>
      <c r="V117" t="str">
        <f t="shared" si="34"/>
        <v>RgN.</v>
      </c>
    </row>
    <row r="118" spans="1:22">
      <c r="A118">
        <v>1</v>
      </c>
      <c r="B118" t="str">
        <f t="shared" si="26"/>
        <v>IEMM~113</v>
      </c>
      <c r="C118" t="str">
        <f t="shared" si="27"/>
        <v>C25-1.SRef.ReRef.NN.RgN.</v>
      </c>
      <c r="D118" t="str">
        <f t="shared" si="28"/>
        <v>C25-1.SRef.ReRef.NN.RgN.</v>
      </c>
      <c r="E118" t="str">
        <f t="shared" si="29"/>
        <v>C25-1.SRef.ReRef.NN.RgN.</v>
      </c>
      <c r="H118" t="str">
        <f t="shared" si="17"/>
        <v>C25-1.SRef.ReRef.NN.RgN.</v>
      </c>
      <c r="I118" t="s">
        <v>62</v>
      </c>
      <c r="J118" t="s">
        <v>50</v>
      </c>
      <c r="K118" t="s">
        <v>50</v>
      </c>
      <c r="L118" t="s">
        <v>11</v>
      </c>
      <c r="M118" t="s">
        <v>11</v>
      </c>
      <c r="N118" t="str">
        <f t="shared" si="18"/>
        <v>Ref-Ref</v>
      </c>
      <c r="O118" t="str">
        <f t="shared" si="19"/>
        <v>N-25-1</v>
      </c>
      <c r="Q118">
        <f t="shared" si="25"/>
        <v>113</v>
      </c>
      <c r="R118" t="str">
        <f t="shared" si="30"/>
        <v>C25-1.</v>
      </c>
      <c r="S118" t="str">
        <f t="shared" si="31"/>
        <v>SRef.</v>
      </c>
      <c r="T118" t="str">
        <f t="shared" si="32"/>
        <v>ReRef.</v>
      </c>
      <c r="U118" t="str">
        <f t="shared" si="33"/>
        <v>NN.</v>
      </c>
      <c r="V118" t="str">
        <f t="shared" si="34"/>
        <v>RgN.</v>
      </c>
    </row>
    <row r="119" spans="1:22">
      <c r="A119">
        <v>1</v>
      </c>
      <c r="B119" t="str">
        <f t="shared" si="26"/>
        <v>IEMM~114</v>
      </c>
      <c r="C119" t="str">
        <f t="shared" si="27"/>
        <v>C50-1.SRef.ReRef.NN.RgN.</v>
      </c>
      <c r="D119" t="str">
        <f t="shared" si="28"/>
        <v>C50-1.SRef.ReRef.NN.RgN.</v>
      </c>
      <c r="E119" t="str">
        <f t="shared" si="29"/>
        <v>C50-1.SRef.ReRef.NN.RgN.</v>
      </c>
      <c r="H119" t="str">
        <f t="shared" si="17"/>
        <v>C50-1.SRef.ReRef.NN.RgN.</v>
      </c>
      <c r="I119" t="s">
        <v>63</v>
      </c>
      <c r="J119" t="s">
        <v>50</v>
      </c>
      <c r="K119" t="s">
        <v>50</v>
      </c>
      <c r="L119" t="s">
        <v>11</v>
      </c>
      <c r="M119" t="s">
        <v>11</v>
      </c>
      <c r="N119" t="str">
        <f t="shared" si="18"/>
        <v>Ref-Ref</v>
      </c>
      <c r="O119" t="str">
        <f t="shared" si="19"/>
        <v>N-50-1</v>
      </c>
      <c r="Q119">
        <f t="shared" si="25"/>
        <v>114</v>
      </c>
      <c r="R119" t="str">
        <f t="shared" si="30"/>
        <v>C50-1.</v>
      </c>
      <c r="S119" t="str">
        <f t="shared" si="31"/>
        <v>SRef.</v>
      </c>
      <c r="T119" t="str">
        <f t="shared" si="32"/>
        <v>ReRef.</v>
      </c>
      <c r="U119" t="str">
        <f t="shared" si="33"/>
        <v>NN.</v>
      </c>
      <c r="V119" t="str">
        <f t="shared" si="34"/>
        <v>RgN.</v>
      </c>
    </row>
    <row r="120" spans="1:22">
      <c r="A120">
        <v>1</v>
      </c>
      <c r="B120" t="str">
        <f t="shared" si="26"/>
        <v>IEMM~115</v>
      </c>
      <c r="C120" t="str">
        <f t="shared" si="27"/>
        <v>CRef.SLo.ReRef.NN.RgN.</v>
      </c>
      <c r="D120" t="str">
        <f t="shared" si="28"/>
        <v>CRef.SLo.ReRef.NN.RgN.</v>
      </c>
      <c r="E120" t="str">
        <f t="shared" si="29"/>
        <v>CRef.SLo.ReRef.NN.RgN.</v>
      </c>
      <c r="H120" t="str">
        <f t="shared" si="17"/>
        <v>CRef.SLo.ReRef.NN.RgN.</v>
      </c>
      <c r="I120" t="s">
        <v>50</v>
      </c>
      <c r="J120" t="s">
        <v>52</v>
      </c>
      <c r="K120" t="s">
        <v>50</v>
      </c>
      <c r="L120" t="s">
        <v>11</v>
      </c>
      <c r="M120" t="s">
        <v>11</v>
      </c>
      <c r="N120" t="str">
        <f t="shared" si="18"/>
        <v>Ref-Lo</v>
      </c>
      <c r="O120" t="str">
        <f t="shared" si="19"/>
        <v>N-Ref</v>
      </c>
      <c r="Q120">
        <f t="shared" si="25"/>
        <v>115</v>
      </c>
      <c r="R120" t="str">
        <f t="shared" si="30"/>
        <v>CRef.</v>
      </c>
      <c r="S120" t="str">
        <f t="shared" si="31"/>
        <v>SLo.</v>
      </c>
      <c r="T120" t="str">
        <f t="shared" si="32"/>
        <v>ReRef.</v>
      </c>
      <c r="U120" t="str">
        <f t="shared" si="33"/>
        <v>NN.</v>
      </c>
      <c r="V120" t="str">
        <f t="shared" si="34"/>
        <v>RgN.</v>
      </c>
    </row>
    <row r="121" spans="1:22">
      <c r="A121">
        <v>1</v>
      </c>
      <c r="B121" t="str">
        <f t="shared" si="26"/>
        <v>IEMM~116</v>
      </c>
      <c r="C121" t="str">
        <f t="shared" si="27"/>
        <v>CCap.SLo.ReRef.NN.RgN.</v>
      </c>
      <c r="D121" t="str">
        <f t="shared" si="28"/>
        <v>CCap.SLo.ReRef.NN.RgN.</v>
      </c>
      <c r="E121" t="str">
        <f t="shared" si="29"/>
        <v>CCap.SLo.ReRef.NN.RgN.</v>
      </c>
      <c r="H121" t="str">
        <f t="shared" si="17"/>
        <v>CCap.SLo.ReRef.NN.RgN.</v>
      </c>
      <c r="I121" t="s">
        <v>59</v>
      </c>
      <c r="J121" t="s">
        <v>52</v>
      </c>
      <c r="K121" t="s">
        <v>50</v>
      </c>
      <c r="L121" t="s">
        <v>11</v>
      </c>
      <c r="M121" t="s">
        <v>11</v>
      </c>
      <c r="N121" t="str">
        <f t="shared" si="18"/>
        <v>Ref-Lo</v>
      </c>
      <c r="O121" t="str">
        <f t="shared" si="19"/>
        <v>N-Cap</v>
      </c>
      <c r="Q121">
        <f t="shared" si="25"/>
        <v>116</v>
      </c>
      <c r="R121" t="str">
        <f t="shared" si="30"/>
        <v>CCap.</v>
      </c>
      <c r="S121" t="str">
        <f t="shared" si="31"/>
        <v>SLo.</v>
      </c>
      <c r="T121" t="str">
        <f t="shared" si="32"/>
        <v>ReRef.</v>
      </c>
      <c r="U121" t="str">
        <f t="shared" si="33"/>
        <v>NN.</v>
      </c>
      <c r="V121" t="str">
        <f t="shared" si="34"/>
        <v>RgN.</v>
      </c>
    </row>
    <row r="122" spans="1:22">
      <c r="A122">
        <v>1</v>
      </c>
      <c r="B122" t="str">
        <f t="shared" si="26"/>
        <v>IEMM~117</v>
      </c>
      <c r="C122" t="str">
        <f t="shared" si="27"/>
        <v>C25-5.SLo.ReRef.NN.RgN.</v>
      </c>
      <c r="D122" t="str">
        <f t="shared" si="28"/>
        <v>C25-5.SLo.ReRef.NN.RgN.</v>
      </c>
      <c r="E122" t="str">
        <f t="shared" si="29"/>
        <v>C25-5.SLo.ReRef.NN.RgN.</v>
      </c>
      <c r="H122" t="str">
        <f t="shared" si="17"/>
        <v>C25-5.SLo.ReRef.NN.RgN.</v>
      </c>
      <c r="I122" t="s">
        <v>60</v>
      </c>
      <c r="J122" t="s">
        <v>52</v>
      </c>
      <c r="K122" t="s">
        <v>50</v>
      </c>
      <c r="L122" t="s">
        <v>11</v>
      </c>
      <c r="M122" t="s">
        <v>11</v>
      </c>
      <c r="N122" t="str">
        <f t="shared" si="18"/>
        <v>Ref-Lo</v>
      </c>
      <c r="O122" t="str">
        <f t="shared" si="19"/>
        <v>N-25-5</v>
      </c>
      <c r="Q122">
        <f t="shared" si="25"/>
        <v>117</v>
      </c>
      <c r="R122" t="str">
        <f t="shared" si="30"/>
        <v>C25-5.</v>
      </c>
      <c r="S122" t="str">
        <f t="shared" si="31"/>
        <v>SLo.</v>
      </c>
      <c r="T122" t="str">
        <f t="shared" si="32"/>
        <v>ReRef.</v>
      </c>
      <c r="U122" t="str">
        <f t="shared" si="33"/>
        <v>NN.</v>
      </c>
      <c r="V122" t="str">
        <f t="shared" si="34"/>
        <v>RgN.</v>
      </c>
    </row>
    <row r="123" spans="1:22">
      <c r="A123">
        <v>1</v>
      </c>
      <c r="B123" t="str">
        <f t="shared" si="26"/>
        <v>IEMM~118</v>
      </c>
      <c r="C123" t="str">
        <f t="shared" si="27"/>
        <v>C50-5.SLo.ReRef.NN.RgN.</v>
      </c>
      <c r="D123" t="str">
        <f t="shared" si="28"/>
        <v>C50-5.SLo.ReRef.NN.RgN.</v>
      </c>
      <c r="E123" t="str">
        <f t="shared" si="29"/>
        <v>C50-5.SLo.ReRef.NN.RgN.</v>
      </c>
      <c r="H123" t="str">
        <f t="shared" si="17"/>
        <v>C50-5.SLo.ReRef.NN.RgN.</v>
      </c>
      <c r="I123" t="s">
        <v>61</v>
      </c>
      <c r="J123" t="s">
        <v>52</v>
      </c>
      <c r="K123" t="s">
        <v>50</v>
      </c>
      <c r="L123" t="s">
        <v>11</v>
      </c>
      <c r="M123" t="s">
        <v>11</v>
      </c>
      <c r="N123" t="str">
        <f t="shared" si="18"/>
        <v>Ref-Lo</v>
      </c>
      <c r="O123" t="str">
        <f t="shared" si="19"/>
        <v>N-50-5</v>
      </c>
      <c r="Q123">
        <f t="shared" si="25"/>
        <v>118</v>
      </c>
      <c r="R123" t="str">
        <f t="shared" si="30"/>
        <v>C50-5.</v>
      </c>
      <c r="S123" t="str">
        <f t="shared" si="31"/>
        <v>SLo.</v>
      </c>
      <c r="T123" t="str">
        <f t="shared" si="32"/>
        <v>ReRef.</v>
      </c>
      <c r="U123" t="str">
        <f t="shared" si="33"/>
        <v>NN.</v>
      </c>
      <c r="V123" t="str">
        <f t="shared" si="34"/>
        <v>RgN.</v>
      </c>
    </row>
    <row r="124" spans="1:22">
      <c r="A124">
        <v>1</v>
      </c>
      <c r="B124" t="str">
        <f t="shared" si="26"/>
        <v>IEMM~119</v>
      </c>
      <c r="C124" t="str">
        <f t="shared" si="27"/>
        <v>C25-1.SLo.ReRef.NN.RgN.</v>
      </c>
      <c r="D124" t="str">
        <f t="shared" si="28"/>
        <v>C25-1.SLo.ReRef.NN.RgN.</v>
      </c>
      <c r="E124" t="str">
        <f t="shared" si="29"/>
        <v>C25-1.SLo.ReRef.NN.RgN.</v>
      </c>
      <c r="H124" t="str">
        <f t="shared" si="17"/>
        <v>C25-1.SLo.ReRef.NN.RgN.</v>
      </c>
      <c r="I124" t="s">
        <v>62</v>
      </c>
      <c r="J124" t="s">
        <v>52</v>
      </c>
      <c r="K124" t="s">
        <v>50</v>
      </c>
      <c r="L124" t="s">
        <v>11</v>
      </c>
      <c r="M124" t="s">
        <v>11</v>
      </c>
      <c r="N124" t="str">
        <f t="shared" si="18"/>
        <v>Ref-Lo</v>
      </c>
      <c r="O124" t="str">
        <f t="shared" si="19"/>
        <v>N-25-1</v>
      </c>
      <c r="Q124">
        <f t="shared" si="25"/>
        <v>119</v>
      </c>
      <c r="R124" t="str">
        <f t="shared" si="30"/>
        <v>C25-1.</v>
      </c>
      <c r="S124" t="str">
        <f t="shared" si="31"/>
        <v>SLo.</v>
      </c>
      <c r="T124" t="str">
        <f t="shared" si="32"/>
        <v>ReRef.</v>
      </c>
      <c r="U124" t="str">
        <f t="shared" si="33"/>
        <v>NN.</v>
      </c>
      <c r="V124" t="str">
        <f t="shared" si="34"/>
        <v>RgN.</v>
      </c>
    </row>
    <row r="125" spans="1:22">
      <c r="A125">
        <v>1</v>
      </c>
      <c r="B125" t="str">
        <f t="shared" si="26"/>
        <v>IEMM~120</v>
      </c>
      <c r="C125" t="str">
        <f t="shared" si="27"/>
        <v>C50-1.SLo.ReRef.NN.RgN.</v>
      </c>
      <c r="D125" t="str">
        <f t="shared" si="28"/>
        <v>C50-1.SLo.ReRef.NN.RgN.</v>
      </c>
      <c r="E125" t="str">
        <f t="shared" si="29"/>
        <v>C50-1.SLo.ReRef.NN.RgN.</v>
      </c>
      <c r="H125" t="str">
        <f t="shared" si="17"/>
        <v>C50-1.SLo.ReRef.NN.RgN.</v>
      </c>
      <c r="I125" t="s">
        <v>63</v>
      </c>
      <c r="J125" t="s">
        <v>52</v>
      </c>
      <c r="K125" t="s">
        <v>50</v>
      </c>
      <c r="L125" t="s">
        <v>11</v>
      </c>
      <c r="M125" t="s">
        <v>11</v>
      </c>
      <c r="N125" t="str">
        <f t="shared" si="18"/>
        <v>Ref-Lo</v>
      </c>
      <c r="O125" t="str">
        <f t="shared" si="19"/>
        <v>N-50-1</v>
      </c>
      <c r="Q125">
        <f t="shared" si="25"/>
        <v>120</v>
      </c>
      <c r="R125" t="str">
        <f t="shared" si="30"/>
        <v>C50-1.</v>
      </c>
      <c r="S125" t="str">
        <f t="shared" si="31"/>
        <v>SLo.</v>
      </c>
      <c r="T125" t="str">
        <f t="shared" si="32"/>
        <v>ReRef.</v>
      </c>
      <c r="U125" t="str">
        <f t="shared" si="33"/>
        <v>NN.</v>
      </c>
      <c r="V125" t="str">
        <f t="shared" si="34"/>
        <v>RgN.</v>
      </c>
    </row>
    <row r="126" spans="1:22">
      <c r="A126">
        <v>1</v>
      </c>
      <c r="B126" t="str">
        <f t="shared" si="26"/>
        <v>IEMM~121</v>
      </c>
      <c r="C126" t="str">
        <f t="shared" si="27"/>
        <v>CRef.SHi.ReRef.NN.RgN.</v>
      </c>
      <c r="D126" t="str">
        <f t="shared" si="28"/>
        <v>CRef.SHi.ReRef.NN.RgN.</v>
      </c>
      <c r="E126" t="str">
        <f t="shared" si="29"/>
        <v>CRef.SHi.ReRef.NN.RgN.</v>
      </c>
      <c r="H126" t="str">
        <f t="shared" si="17"/>
        <v>CRef.SHi.ReRef.NN.RgN.</v>
      </c>
      <c r="I126" t="s">
        <v>50</v>
      </c>
      <c r="J126" t="s">
        <v>51</v>
      </c>
      <c r="K126" t="s">
        <v>50</v>
      </c>
      <c r="L126" t="s">
        <v>11</v>
      </c>
      <c r="M126" t="s">
        <v>11</v>
      </c>
      <c r="N126" t="str">
        <f t="shared" si="18"/>
        <v>Ref-Hi</v>
      </c>
      <c r="O126" t="str">
        <f t="shared" si="19"/>
        <v>N-Ref</v>
      </c>
      <c r="Q126">
        <f t="shared" si="25"/>
        <v>121</v>
      </c>
      <c r="R126" t="str">
        <f t="shared" si="30"/>
        <v>CRef.</v>
      </c>
      <c r="S126" t="str">
        <f t="shared" si="31"/>
        <v>SHi.</v>
      </c>
      <c r="T126" t="str">
        <f t="shared" si="32"/>
        <v>ReRef.</v>
      </c>
      <c r="U126" t="str">
        <f t="shared" si="33"/>
        <v>NN.</v>
      </c>
      <c r="V126" t="str">
        <f t="shared" si="34"/>
        <v>RgN.</v>
      </c>
    </row>
    <row r="127" spans="1:22">
      <c r="A127">
        <v>1</v>
      </c>
      <c r="B127" t="str">
        <f t="shared" si="26"/>
        <v>IEMM~122</v>
      </c>
      <c r="C127" t="str">
        <f t="shared" si="27"/>
        <v>CCap.SHi.ReRef.NN.RgN.</v>
      </c>
      <c r="D127" t="str">
        <f t="shared" si="28"/>
        <v>CCap.SHi.ReRef.NN.RgN.</v>
      </c>
      <c r="E127" t="str">
        <f t="shared" si="29"/>
        <v>CCap.SHi.ReRef.NN.RgN.</v>
      </c>
      <c r="H127" t="str">
        <f t="shared" si="17"/>
        <v>CCap.SHi.ReRef.NN.RgN.</v>
      </c>
      <c r="I127" t="s">
        <v>59</v>
      </c>
      <c r="J127" t="s">
        <v>51</v>
      </c>
      <c r="K127" t="s">
        <v>50</v>
      </c>
      <c r="L127" t="s">
        <v>11</v>
      </c>
      <c r="M127" t="s">
        <v>11</v>
      </c>
      <c r="N127" t="str">
        <f t="shared" si="18"/>
        <v>Ref-Hi</v>
      </c>
      <c r="O127" t="str">
        <f t="shared" si="19"/>
        <v>N-Cap</v>
      </c>
      <c r="Q127">
        <f t="shared" si="25"/>
        <v>122</v>
      </c>
      <c r="R127" t="str">
        <f t="shared" si="30"/>
        <v>CCap.</v>
      </c>
      <c r="S127" t="str">
        <f t="shared" si="31"/>
        <v>SHi.</v>
      </c>
      <c r="T127" t="str">
        <f t="shared" si="32"/>
        <v>ReRef.</v>
      </c>
      <c r="U127" t="str">
        <f t="shared" si="33"/>
        <v>NN.</v>
      </c>
      <c r="V127" t="str">
        <f t="shared" si="34"/>
        <v>RgN.</v>
      </c>
    </row>
    <row r="128" spans="1:22">
      <c r="A128">
        <v>1</v>
      </c>
      <c r="B128" t="str">
        <f t="shared" si="26"/>
        <v>IEMM~123</v>
      </c>
      <c r="C128" t="str">
        <f t="shared" si="27"/>
        <v>C25-5.SHi.ReRef.NN.RgN.</v>
      </c>
      <c r="D128" t="str">
        <f t="shared" si="28"/>
        <v>C25-5.SHi.ReRef.NN.RgN.</v>
      </c>
      <c r="E128" t="str">
        <f t="shared" si="29"/>
        <v>C25-5.SHi.ReRef.NN.RgN.</v>
      </c>
      <c r="H128" t="str">
        <f t="shared" si="17"/>
        <v>C25-5.SHi.ReRef.NN.RgN.</v>
      </c>
      <c r="I128" t="s">
        <v>60</v>
      </c>
      <c r="J128" t="s">
        <v>51</v>
      </c>
      <c r="K128" t="s">
        <v>50</v>
      </c>
      <c r="L128" t="s">
        <v>11</v>
      </c>
      <c r="M128" t="s">
        <v>11</v>
      </c>
      <c r="N128" t="str">
        <f t="shared" si="18"/>
        <v>Ref-Hi</v>
      </c>
      <c r="O128" t="str">
        <f t="shared" si="19"/>
        <v>N-25-5</v>
      </c>
      <c r="Q128">
        <f t="shared" si="25"/>
        <v>123</v>
      </c>
      <c r="R128" t="str">
        <f t="shared" si="30"/>
        <v>C25-5.</v>
      </c>
      <c r="S128" t="str">
        <f t="shared" si="31"/>
        <v>SHi.</v>
      </c>
      <c r="T128" t="str">
        <f t="shared" si="32"/>
        <v>ReRef.</v>
      </c>
      <c r="U128" t="str">
        <f t="shared" si="33"/>
        <v>NN.</v>
      </c>
      <c r="V128" t="str">
        <f t="shared" si="34"/>
        <v>RgN.</v>
      </c>
    </row>
    <row r="129" spans="1:22">
      <c r="A129">
        <v>1</v>
      </c>
      <c r="B129" t="str">
        <f t="shared" si="26"/>
        <v>IEMM~124</v>
      </c>
      <c r="C129" t="str">
        <f t="shared" si="27"/>
        <v>C50-5.SHi.ReRef.NN.RgN.</v>
      </c>
      <c r="D129" t="str">
        <f t="shared" si="28"/>
        <v>C50-5.SHi.ReRef.NN.RgN.</v>
      </c>
      <c r="E129" t="str">
        <f t="shared" si="29"/>
        <v>C50-5.SHi.ReRef.NN.RgN.</v>
      </c>
      <c r="H129" t="str">
        <f t="shared" si="17"/>
        <v>C50-5.SHi.ReRef.NN.RgN.</v>
      </c>
      <c r="I129" t="s">
        <v>61</v>
      </c>
      <c r="J129" t="s">
        <v>51</v>
      </c>
      <c r="K129" t="s">
        <v>50</v>
      </c>
      <c r="L129" t="s">
        <v>11</v>
      </c>
      <c r="M129" t="s">
        <v>11</v>
      </c>
      <c r="N129" t="str">
        <f t="shared" si="18"/>
        <v>Ref-Hi</v>
      </c>
      <c r="O129" t="str">
        <f t="shared" si="19"/>
        <v>N-50-5</v>
      </c>
      <c r="Q129">
        <f t="shared" si="25"/>
        <v>124</v>
      </c>
      <c r="R129" t="str">
        <f t="shared" si="30"/>
        <v>C50-5.</v>
      </c>
      <c r="S129" t="str">
        <f t="shared" si="31"/>
        <v>SHi.</v>
      </c>
      <c r="T129" t="str">
        <f t="shared" si="32"/>
        <v>ReRef.</v>
      </c>
      <c r="U129" t="str">
        <f t="shared" si="33"/>
        <v>NN.</v>
      </c>
      <c r="V129" t="str">
        <f t="shared" si="34"/>
        <v>RgN.</v>
      </c>
    </row>
    <row r="130" spans="1:22">
      <c r="A130">
        <v>1</v>
      </c>
      <c r="B130" t="str">
        <f t="shared" si="26"/>
        <v>IEMM~125</v>
      </c>
      <c r="C130" t="str">
        <f t="shared" si="27"/>
        <v>C25-1.SHi.ReRef.NN.RgN.</v>
      </c>
      <c r="D130" t="str">
        <f t="shared" si="28"/>
        <v>C25-1.SHi.ReRef.NN.RgN.</v>
      </c>
      <c r="E130" t="str">
        <f t="shared" si="29"/>
        <v>C25-1.SHi.ReRef.NN.RgN.</v>
      </c>
      <c r="H130" t="str">
        <f t="shared" si="17"/>
        <v>C25-1.SHi.ReRef.NN.RgN.</v>
      </c>
      <c r="I130" t="s">
        <v>62</v>
      </c>
      <c r="J130" t="s">
        <v>51</v>
      </c>
      <c r="K130" t="s">
        <v>50</v>
      </c>
      <c r="L130" t="s">
        <v>11</v>
      </c>
      <c r="M130" t="s">
        <v>11</v>
      </c>
      <c r="N130" t="str">
        <f t="shared" si="18"/>
        <v>Ref-Hi</v>
      </c>
      <c r="O130" t="str">
        <f t="shared" si="19"/>
        <v>N-25-1</v>
      </c>
      <c r="Q130">
        <f t="shared" si="25"/>
        <v>125</v>
      </c>
      <c r="R130" t="str">
        <f t="shared" si="30"/>
        <v>C25-1.</v>
      </c>
      <c r="S130" t="str">
        <f t="shared" si="31"/>
        <v>SHi.</v>
      </c>
      <c r="T130" t="str">
        <f t="shared" si="32"/>
        <v>ReRef.</v>
      </c>
      <c r="U130" t="str">
        <f t="shared" si="33"/>
        <v>NN.</v>
      </c>
      <c r="V130" t="str">
        <f t="shared" si="34"/>
        <v>RgN.</v>
      </c>
    </row>
    <row r="131" spans="1:22">
      <c r="A131">
        <v>1</v>
      </c>
      <c r="B131" t="str">
        <f t="shared" si="26"/>
        <v>IEMM~126</v>
      </c>
      <c r="C131" t="str">
        <f t="shared" si="27"/>
        <v>C50-1.SHi.ReRef.NN.RgN.</v>
      </c>
      <c r="D131" t="str">
        <f t="shared" si="28"/>
        <v>C50-1.SHi.ReRef.NN.RgN.</v>
      </c>
      <c r="E131" t="str">
        <f t="shared" si="29"/>
        <v>C50-1.SHi.ReRef.NN.RgN.</v>
      </c>
      <c r="H131" t="str">
        <f t="shared" si="17"/>
        <v>C50-1.SHi.ReRef.NN.RgN.</v>
      </c>
      <c r="I131" t="s">
        <v>63</v>
      </c>
      <c r="J131" t="s">
        <v>51</v>
      </c>
      <c r="K131" t="s">
        <v>50</v>
      </c>
      <c r="L131" t="s">
        <v>11</v>
      </c>
      <c r="M131" t="s">
        <v>11</v>
      </c>
      <c r="N131" t="str">
        <f t="shared" si="18"/>
        <v>Ref-Hi</v>
      </c>
      <c r="O131" t="str">
        <f t="shared" si="19"/>
        <v>N-50-1</v>
      </c>
      <c r="Q131">
        <f t="shared" si="25"/>
        <v>126</v>
      </c>
      <c r="R131" t="str">
        <f t="shared" si="30"/>
        <v>C50-1.</v>
      </c>
      <c r="S131" t="str">
        <f t="shared" si="31"/>
        <v>SHi.</v>
      </c>
      <c r="T131" t="str">
        <f t="shared" si="32"/>
        <v>ReRef.</v>
      </c>
      <c r="U131" t="str">
        <f t="shared" si="33"/>
        <v>NN.</v>
      </c>
      <c r="V131" t="str">
        <f t="shared" si="34"/>
        <v>RgN.</v>
      </c>
    </row>
    <row r="132" spans="1:22">
      <c r="A132">
        <v>1</v>
      </c>
      <c r="B132" t="str">
        <f t="shared" si="26"/>
        <v>IEMM~127</v>
      </c>
      <c r="C132" t="str">
        <f t="shared" si="27"/>
        <v>CRef.SRef.ReLo.NN.RgN.</v>
      </c>
      <c r="D132" t="str">
        <f t="shared" si="28"/>
        <v>CRef.SRef.ReLo.NN.RgN.</v>
      </c>
      <c r="E132" t="str">
        <f t="shared" si="29"/>
        <v>CRef.SRef.ReLo.NN.RgN.</v>
      </c>
      <c r="H132" t="str">
        <f t="shared" si="17"/>
        <v>CRef.SRef.ReLo.NN.RgN.</v>
      </c>
      <c r="I132" t="s">
        <v>50</v>
      </c>
      <c r="J132" t="s">
        <v>50</v>
      </c>
      <c r="K132" t="s">
        <v>52</v>
      </c>
      <c r="L132" t="s">
        <v>11</v>
      </c>
      <c r="M132" t="s">
        <v>11</v>
      </c>
      <c r="N132" t="str">
        <f t="shared" si="18"/>
        <v>Lo-Ref</v>
      </c>
      <c r="O132" t="str">
        <f t="shared" si="19"/>
        <v>N-Ref</v>
      </c>
      <c r="Q132">
        <f t="shared" si="25"/>
        <v>127</v>
      </c>
      <c r="R132" t="str">
        <f t="shared" si="30"/>
        <v>CRef.</v>
      </c>
      <c r="S132" t="str">
        <f t="shared" si="31"/>
        <v>SRef.</v>
      </c>
      <c r="T132" t="str">
        <f t="shared" si="32"/>
        <v>ReLo.</v>
      </c>
      <c r="U132" t="str">
        <f t="shared" si="33"/>
        <v>NN.</v>
      </c>
      <c r="V132" t="str">
        <f t="shared" si="34"/>
        <v>RgN.</v>
      </c>
    </row>
    <row r="133" spans="1:22">
      <c r="A133">
        <v>1</v>
      </c>
      <c r="B133" t="str">
        <f t="shared" si="26"/>
        <v>IEMM~128</v>
      </c>
      <c r="C133" t="str">
        <f t="shared" si="27"/>
        <v>CCap.SRef.ReLo.NN.RgN.</v>
      </c>
      <c r="D133" t="str">
        <f t="shared" si="28"/>
        <v>CCap.SRef.ReLo.NN.RgN.</v>
      </c>
      <c r="E133" t="str">
        <f t="shared" si="29"/>
        <v>CCap.SRef.ReLo.NN.RgN.</v>
      </c>
      <c r="H133" t="str">
        <f t="shared" si="17"/>
        <v>CCap.SRef.ReLo.NN.RgN.</v>
      </c>
      <c r="I133" t="s">
        <v>59</v>
      </c>
      <c r="J133" t="s">
        <v>50</v>
      </c>
      <c r="K133" t="s">
        <v>52</v>
      </c>
      <c r="L133" t="s">
        <v>11</v>
      </c>
      <c r="M133" t="s">
        <v>11</v>
      </c>
      <c r="N133" t="str">
        <f t="shared" si="18"/>
        <v>Lo-Ref</v>
      </c>
      <c r="O133" t="str">
        <f t="shared" si="19"/>
        <v>N-Cap</v>
      </c>
      <c r="Q133">
        <f t="shared" si="25"/>
        <v>128</v>
      </c>
      <c r="R133" t="str">
        <f t="shared" si="30"/>
        <v>CCap.</v>
      </c>
      <c r="S133" t="str">
        <f t="shared" si="31"/>
        <v>SRef.</v>
      </c>
      <c r="T133" t="str">
        <f t="shared" si="32"/>
        <v>ReLo.</v>
      </c>
      <c r="U133" t="str">
        <f t="shared" si="33"/>
        <v>NN.</v>
      </c>
      <c r="V133" t="str">
        <f t="shared" si="34"/>
        <v>RgN.</v>
      </c>
    </row>
    <row r="134" spans="1:22">
      <c r="A134">
        <v>1</v>
      </c>
      <c r="B134" t="str">
        <f t="shared" si="26"/>
        <v>IEMM~129</v>
      </c>
      <c r="C134" t="str">
        <f t="shared" si="27"/>
        <v>C25-5.SRef.ReLo.NN.RgN.</v>
      </c>
      <c r="D134" t="str">
        <f t="shared" si="28"/>
        <v>C25-5.SRef.ReLo.NN.RgN.</v>
      </c>
      <c r="E134" t="str">
        <f t="shared" si="29"/>
        <v>C25-5.SRef.ReLo.NN.RgN.</v>
      </c>
      <c r="H134" t="str">
        <f t="shared" si="17"/>
        <v>C25-5.SRef.ReLo.NN.RgN.</v>
      </c>
      <c r="I134" t="s">
        <v>60</v>
      </c>
      <c r="J134" t="s">
        <v>50</v>
      </c>
      <c r="K134" t="s">
        <v>52</v>
      </c>
      <c r="L134" t="s">
        <v>11</v>
      </c>
      <c r="M134" t="s">
        <v>11</v>
      </c>
      <c r="N134" t="str">
        <f t="shared" si="18"/>
        <v>Lo-Ref</v>
      </c>
      <c r="O134" t="str">
        <f t="shared" si="19"/>
        <v>N-25-5</v>
      </c>
      <c r="Q134">
        <f t="shared" si="25"/>
        <v>129</v>
      </c>
      <c r="R134" t="str">
        <f t="shared" si="30"/>
        <v>C25-5.</v>
      </c>
      <c r="S134" t="str">
        <f t="shared" si="31"/>
        <v>SRef.</v>
      </c>
      <c r="T134" t="str">
        <f t="shared" si="32"/>
        <v>ReLo.</v>
      </c>
      <c r="U134" t="str">
        <f t="shared" si="33"/>
        <v>NN.</v>
      </c>
      <c r="V134" t="str">
        <f t="shared" si="34"/>
        <v>RgN.</v>
      </c>
    </row>
    <row r="135" spans="1:22">
      <c r="A135">
        <v>1</v>
      </c>
      <c r="B135" t="str">
        <f t="shared" si="26"/>
        <v>IEMM~130</v>
      </c>
      <c r="C135" t="str">
        <f t="shared" si="27"/>
        <v>C50-5.SRef.ReLo.NN.RgN.</v>
      </c>
      <c r="D135" t="str">
        <f t="shared" si="28"/>
        <v>C50-5.SRef.ReLo.NN.RgN.</v>
      </c>
      <c r="E135" t="str">
        <f t="shared" si="29"/>
        <v>C50-5.SRef.ReLo.NN.RgN.</v>
      </c>
      <c r="H135" t="str">
        <f t="shared" ref="H135:H149" si="35">R135&amp;S135&amp;T135&amp;U135&amp;V135</f>
        <v>C50-5.SRef.ReLo.NN.RgN.</v>
      </c>
      <c r="I135" t="s">
        <v>61</v>
      </c>
      <c r="J135" t="s">
        <v>50</v>
      </c>
      <c r="K135" t="s">
        <v>52</v>
      </c>
      <c r="L135" t="s">
        <v>11</v>
      </c>
      <c r="M135" t="s">
        <v>11</v>
      </c>
      <c r="N135" t="str">
        <f t="shared" ref="N135:N149" si="36">K135&amp;"-"&amp;J135</f>
        <v>Lo-Ref</v>
      </c>
      <c r="O135" t="str">
        <f t="shared" ref="O135:O149" si="37">M135&amp;"-"&amp;I135</f>
        <v>N-50-5</v>
      </c>
      <c r="Q135">
        <f t="shared" si="25"/>
        <v>130</v>
      </c>
      <c r="R135" t="str">
        <f t="shared" si="30"/>
        <v>C50-5.</v>
      </c>
      <c r="S135" t="str">
        <f t="shared" si="31"/>
        <v>SRef.</v>
      </c>
      <c r="T135" t="str">
        <f t="shared" si="32"/>
        <v>ReLo.</v>
      </c>
      <c r="U135" t="str">
        <f t="shared" si="33"/>
        <v>NN.</v>
      </c>
      <c r="V135" t="str">
        <f t="shared" si="34"/>
        <v>RgN.</v>
      </c>
    </row>
    <row r="136" spans="1:22">
      <c r="A136">
        <v>1</v>
      </c>
      <c r="B136" t="str">
        <f t="shared" si="26"/>
        <v>IEMM~131</v>
      </c>
      <c r="C136" t="str">
        <f t="shared" si="27"/>
        <v>C25-1.SRef.ReLo.NN.RgN.</v>
      </c>
      <c r="D136" t="str">
        <f t="shared" si="28"/>
        <v>C25-1.SRef.ReLo.NN.RgN.</v>
      </c>
      <c r="E136" t="str">
        <f t="shared" si="29"/>
        <v>C25-1.SRef.ReLo.NN.RgN.</v>
      </c>
      <c r="H136" t="str">
        <f t="shared" si="35"/>
        <v>C25-1.SRef.ReLo.NN.RgN.</v>
      </c>
      <c r="I136" t="s">
        <v>62</v>
      </c>
      <c r="J136" t="s">
        <v>50</v>
      </c>
      <c r="K136" t="s">
        <v>52</v>
      </c>
      <c r="L136" t="s">
        <v>11</v>
      </c>
      <c r="M136" t="s">
        <v>11</v>
      </c>
      <c r="N136" t="str">
        <f t="shared" si="36"/>
        <v>Lo-Ref</v>
      </c>
      <c r="O136" t="str">
        <f t="shared" si="37"/>
        <v>N-25-1</v>
      </c>
      <c r="Q136">
        <f t="shared" ref="Q136:Q149" si="38">Q135+1</f>
        <v>131</v>
      </c>
      <c r="R136" t="str">
        <f t="shared" si="30"/>
        <v>C25-1.</v>
      </c>
      <c r="S136" t="str">
        <f t="shared" si="31"/>
        <v>SRef.</v>
      </c>
      <c r="T136" t="str">
        <f t="shared" si="32"/>
        <v>ReLo.</v>
      </c>
      <c r="U136" t="str">
        <f t="shared" si="33"/>
        <v>NN.</v>
      </c>
      <c r="V136" t="str">
        <f t="shared" si="34"/>
        <v>RgN.</v>
      </c>
    </row>
    <row r="137" spans="1:22">
      <c r="A137">
        <v>1</v>
      </c>
      <c r="B137" t="str">
        <f t="shared" si="26"/>
        <v>IEMM~132</v>
      </c>
      <c r="C137" t="str">
        <f t="shared" si="27"/>
        <v>C50-1.SRef.ReLo.NN.RgN.</v>
      </c>
      <c r="D137" t="str">
        <f t="shared" si="28"/>
        <v>C50-1.SRef.ReLo.NN.RgN.</v>
      </c>
      <c r="E137" t="str">
        <f t="shared" si="29"/>
        <v>C50-1.SRef.ReLo.NN.RgN.</v>
      </c>
      <c r="H137" t="str">
        <f t="shared" si="35"/>
        <v>C50-1.SRef.ReLo.NN.RgN.</v>
      </c>
      <c r="I137" t="s">
        <v>63</v>
      </c>
      <c r="J137" t="s">
        <v>50</v>
      </c>
      <c r="K137" t="s">
        <v>52</v>
      </c>
      <c r="L137" t="s">
        <v>11</v>
      </c>
      <c r="M137" t="s">
        <v>11</v>
      </c>
      <c r="N137" t="str">
        <f t="shared" si="36"/>
        <v>Lo-Ref</v>
      </c>
      <c r="O137" t="str">
        <f t="shared" si="37"/>
        <v>N-50-1</v>
      </c>
      <c r="Q137">
        <f t="shared" si="38"/>
        <v>132</v>
      </c>
      <c r="R137" t="str">
        <f t="shared" si="30"/>
        <v>C50-1.</v>
      </c>
      <c r="S137" t="str">
        <f t="shared" si="31"/>
        <v>SRef.</v>
      </c>
      <c r="T137" t="str">
        <f t="shared" si="32"/>
        <v>ReLo.</v>
      </c>
      <c r="U137" t="str">
        <f t="shared" si="33"/>
        <v>NN.</v>
      </c>
      <c r="V137" t="str">
        <f t="shared" si="34"/>
        <v>RgN.</v>
      </c>
    </row>
    <row r="138" spans="1:22">
      <c r="A138">
        <v>1</v>
      </c>
      <c r="B138" t="str">
        <f t="shared" si="26"/>
        <v>IEMM~133</v>
      </c>
      <c r="C138" t="str">
        <f t="shared" si="27"/>
        <v>CRef.SLo.ReLo.NN.RgN.</v>
      </c>
      <c r="D138" t="str">
        <f t="shared" si="28"/>
        <v>CRef.SLo.ReLo.NN.RgN.</v>
      </c>
      <c r="E138" t="str">
        <f t="shared" si="29"/>
        <v>CRef.SLo.ReLo.NN.RgN.</v>
      </c>
      <c r="H138" t="str">
        <f t="shared" si="35"/>
        <v>CRef.SLo.ReLo.NN.RgN.</v>
      </c>
      <c r="I138" t="s">
        <v>50</v>
      </c>
      <c r="J138" t="s">
        <v>52</v>
      </c>
      <c r="K138" t="s">
        <v>52</v>
      </c>
      <c r="L138" t="s">
        <v>11</v>
      </c>
      <c r="M138" t="s">
        <v>11</v>
      </c>
      <c r="N138" t="str">
        <f t="shared" si="36"/>
        <v>Lo-Lo</v>
      </c>
      <c r="O138" t="str">
        <f t="shared" si="37"/>
        <v>N-Ref</v>
      </c>
      <c r="Q138">
        <f t="shared" si="38"/>
        <v>133</v>
      </c>
      <c r="R138" t="str">
        <f t="shared" si="30"/>
        <v>CRef.</v>
      </c>
      <c r="S138" t="str">
        <f t="shared" si="31"/>
        <v>SLo.</v>
      </c>
      <c r="T138" t="str">
        <f t="shared" si="32"/>
        <v>ReLo.</v>
      </c>
      <c r="U138" t="str">
        <f t="shared" si="33"/>
        <v>NN.</v>
      </c>
      <c r="V138" t="str">
        <f t="shared" si="34"/>
        <v>RgN.</v>
      </c>
    </row>
    <row r="139" spans="1:22">
      <c r="A139">
        <v>1</v>
      </c>
      <c r="B139" t="str">
        <f t="shared" si="26"/>
        <v>IEMM~134</v>
      </c>
      <c r="C139" t="str">
        <f t="shared" si="27"/>
        <v>CCap.SLo.ReLo.NN.RgN.</v>
      </c>
      <c r="D139" t="str">
        <f t="shared" si="28"/>
        <v>CCap.SLo.ReLo.NN.RgN.</v>
      </c>
      <c r="E139" t="str">
        <f t="shared" si="29"/>
        <v>CCap.SLo.ReLo.NN.RgN.</v>
      </c>
      <c r="H139" t="str">
        <f t="shared" si="35"/>
        <v>CCap.SLo.ReLo.NN.RgN.</v>
      </c>
      <c r="I139" t="s">
        <v>59</v>
      </c>
      <c r="J139" t="s">
        <v>52</v>
      </c>
      <c r="K139" t="s">
        <v>52</v>
      </c>
      <c r="L139" t="s">
        <v>11</v>
      </c>
      <c r="M139" t="s">
        <v>11</v>
      </c>
      <c r="N139" t="str">
        <f t="shared" si="36"/>
        <v>Lo-Lo</v>
      </c>
      <c r="O139" t="str">
        <f t="shared" si="37"/>
        <v>N-Cap</v>
      </c>
      <c r="Q139">
        <f t="shared" si="38"/>
        <v>134</v>
      </c>
      <c r="R139" t="str">
        <f t="shared" si="30"/>
        <v>CCap.</v>
      </c>
      <c r="S139" t="str">
        <f t="shared" si="31"/>
        <v>SLo.</v>
      </c>
      <c r="T139" t="str">
        <f t="shared" si="32"/>
        <v>ReLo.</v>
      </c>
      <c r="U139" t="str">
        <f t="shared" si="33"/>
        <v>NN.</v>
      </c>
      <c r="V139" t="str">
        <f t="shared" si="34"/>
        <v>RgN.</v>
      </c>
    </row>
    <row r="140" spans="1:22">
      <c r="A140">
        <v>1</v>
      </c>
      <c r="B140" t="str">
        <f t="shared" si="26"/>
        <v>IEMM~135</v>
      </c>
      <c r="C140" t="str">
        <f t="shared" si="27"/>
        <v>C25-5.SLo.ReLo.NN.RgN.</v>
      </c>
      <c r="D140" t="str">
        <f t="shared" si="28"/>
        <v>C25-5.SLo.ReLo.NN.RgN.</v>
      </c>
      <c r="E140" t="str">
        <f t="shared" si="29"/>
        <v>C25-5.SLo.ReLo.NN.RgN.</v>
      </c>
      <c r="H140" t="str">
        <f t="shared" si="35"/>
        <v>C25-5.SLo.ReLo.NN.RgN.</v>
      </c>
      <c r="I140" t="s">
        <v>60</v>
      </c>
      <c r="J140" t="s">
        <v>52</v>
      </c>
      <c r="K140" t="s">
        <v>52</v>
      </c>
      <c r="L140" t="s">
        <v>11</v>
      </c>
      <c r="M140" t="s">
        <v>11</v>
      </c>
      <c r="N140" t="str">
        <f t="shared" si="36"/>
        <v>Lo-Lo</v>
      </c>
      <c r="O140" t="str">
        <f t="shared" si="37"/>
        <v>N-25-5</v>
      </c>
      <c r="Q140">
        <f t="shared" si="38"/>
        <v>135</v>
      </c>
      <c r="R140" t="str">
        <f t="shared" si="30"/>
        <v>C25-5.</v>
      </c>
      <c r="S140" t="str">
        <f t="shared" si="31"/>
        <v>SLo.</v>
      </c>
      <c r="T140" t="str">
        <f t="shared" si="32"/>
        <v>ReLo.</v>
      </c>
      <c r="U140" t="str">
        <f t="shared" si="33"/>
        <v>NN.</v>
      </c>
      <c r="V140" t="str">
        <f t="shared" si="34"/>
        <v>RgN.</v>
      </c>
    </row>
    <row r="141" spans="1:22">
      <c r="A141">
        <v>1</v>
      </c>
      <c r="B141" t="str">
        <f t="shared" si="26"/>
        <v>IEMM~136</v>
      </c>
      <c r="C141" t="str">
        <f t="shared" si="27"/>
        <v>C50-5.SLo.ReLo.NN.RgN.</v>
      </c>
      <c r="D141" t="str">
        <f t="shared" si="28"/>
        <v>C50-5.SLo.ReLo.NN.RgN.</v>
      </c>
      <c r="E141" t="str">
        <f t="shared" si="29"/>
        <v>C50-5.SLo.ReLo.NN.RgN.</v>
      </c>
      <c r="H141" t="str">
        <f t="shared" si="35"/>
        <v>C50-5.SLo.ReLo.NN.RgN.</v>
      </c>
      <c r="I141" t="s">
        <v>61</v>
      </c>
      <c r="J141" t="s">
        <v>52</v>
      </c>
      <c r="K141" t="s">
        <v>52</v>
      </c>
      <c r="L141" t="s">
        <v>11</v>
      </c>
      <c r="M141" t="s">
        <v>11</v>
      </c>
      <c r="N141" t="str">
        <f t="shared" si="36"/>
        <v>Lo-Lo</v>
      </c>
      <c r="O141" t="str">
        <f t="shared" si="37"/>
        <v>N-50-5</v>
      </c>
      <c r="Q141">
        <f t="shared" si="38"/>
        <v>136</v>
      </c>
      <c r="R141" t="str">
        <f t="shared" si="30"/>
        <v>C50-5.</v>
      </c>
      <c r="S141" t="str">
        <f t="shared" si="31"/>
        <v>SLo.</v>
      </c>
      <c r="T141" t="str">
        <f t="shared" si="32"/>
        <v>ReLo.</v>
      </c>
      <c r="U141" t="str">
        <f t="shared" si="33"/>
        <v>NN.</v>
      </c>
      <c r="V141" t="str">
        <f t="shared" si="34"/>
        <v>RgN.</v>
      </c>
    </row>
    <row r="142" spans="1:22">
      <c r="A142">
        <v>1</v>
      </c>
      <c r="B142" t="str">
        <f t="shared" si="26"/>
        <v>IEMM~137</v>
      </c>
      <c r="C142" t="str">
        <f t="shared" si="27"/>
        <v>C25-1.SLo.ReLo.NN.RgN.</v>
      </c>
      <c r="D142" t="str">
        <f t="shared" si="28"/>
        <v>C25-1.SLo.ReLo.NN.RgN.</v>
      </c>
      <c r="E142" t="str">
        <f t="shared" si="29"/>
        <v>C25-1.SLo.ReLo.NN.RgN.</v>
      </c>
      <c r="H142" t="str">
        <f t="shared" si="35"/>
        <v>C25-1.SLo.ReLo.NN.RgN.</v>
      </c>
      <c r="I142" t="s">
        <v>62</v>
      </c>
      <c r="J142" t="s">
        <v>52</v>
      </c>
      <c r="K142" t="s">
        <v>52</v>
      </c>
      <c r="L142" t="s">
        <v>11</v>
      </c>
      <c r="M142" t="s">
        <v>11</v>
      </c>
      <c r="N142" t="str">
        <f t="shared" si="36"/>
        <v>Lo-Lo</v>
      </c>
      <c r="O142" t="str">
        <f t="shared" si="37"/>
        <v>N-25-1</v>
      </c>
      <c r="Q142">
        <f t="shared" si="38"/>
        <v>137</v>
      </c>
      <c r="R142" t="str">
        <f t="shared" si="30"/>
        <v>C25-1.</v>
      </c>
      <c r="S142" t="str">
        <f t="shared" si="31"/>
        <v>SLo.</v>
      </c>
      <c r="T142" t="str">
        <f t="shared" si="32"/>
        <v>ReLo.</v>
      </c>
      <c r="U142" t="str">
        <f t="shared" si="33"/>
        <v>NN.</v>
      </c>
      <c r="V142" t="str">
        <f t="shared" si="34"/>
        <v>RgN.</v>
      </c>
    </row>
    <row r="143" spans="1:22">
      <c r="A143">
        <v>1</v>
      </c>
      <c r="B143" t="str">
        <f t="shared" si="26"/>
        <v>IEMM~138</v>
      </c>
      <c r="C143" t="str">
        <f t="shared" si="27"/>
        <v>C50-1.SLo.ReLo.NN.RgN.</v>
      </c>
      <c r="D143" t="str">
        <f t="shared" si="28"/>
        <v>C50-1.SLo.ReLo.NN.RgN.</v>
      </c>
      <c r="E143" t="str">
        <f t="shared" si="29"/>
        <v>C50-1.SLo.ReLo.NN.RgN.</v>
      </c>
      <c r="H143" t="str">
        <f t="shared" si="35"/>
        <v>C50-1.SLo.ReLo.NN.RgN.</v>
      </c>
      <c r="I143" t="s">
        <v>63</v>
      </c>
      <c r="J143" t="s">
        <v>52</v>
      </c>
      <c r="K143" t="s">
        <v>52</v>
      </c>
      <c r="L143" t="s">
        <v>11</v>
      </c>
      <c r="M143" t="s">
        <v>11</v>
      </c>
      <c r="N143" t="str">
        <f t="shared" si="36"/>
        <v>Lo-Lo</v>
      </c>
      <c r="O143" t="str">
        <f t="shared" si="37"/>
        <v>N-50-1</v>
      </c>
      <c r="Q143">
        <f t="shared" si="38"/>
        <v>138</v>
      </c>
      <c r="R143" t="str">
        <f t="shared" si="30"/>
        <v>C50-1.</v>
      </c>
      <c r="S143" t="str">
        <f t="shared" si="31"/>
        <v>SLo.</v>
      </c>
      <c r="T143" t="str">
        <f t="shared" si="32"/>
        <v>ReLo.</v>
      </c>
      <c r="U143" t="str">
        <f t="shared" si="33"/>
        <v>NN.</v>
      </c>
      <c r="V143" t="str">
        <f t="shared" si="34"/>
        <v>RgN.</v>
      </c>
    </row>
    <row r="144" spans="1:22">
      <c r="A144">
        <v>1</v>
      </c>
      <c r="B144" t="str">
        <f t="shared" si="26"/>
        <v>IEMM~139</v>
      </c>
      <c r="C144" t="str">
        <f t="shared" si="27"/>
        <v>CRef.SHi.ReLo.NN.RgN.</v>
      </c>
      <c r="D144" t="str">
        <f t="shared" si="28"/>
        <v>CRef.SHi.ReLo.NN.RgN.</v>
      </c>
      <c r="E144" t="str">
        <f t="shared" si="29"/>
        <v>CRef.SHi.ReLo.NN.RgN.</v>
      </c>
      <c r="H144" t="str">
        <f t="shared" si="35"/>
        <v>CRef.SHi.ReLo.NN.RgN.</v>
      </c>
      <c r="I144" t="s">
        <v>50</v>
      </c>
      <c r="J144" t="s">
        <v>51</v>
      </c>
      <c r="K144" t="s">
        <v>52</v>
      </c>
      <c r="L144" t="s">
        <v>11</v>
      </c>
      <c r="M144" t="s">
        <v>11</v>
      </c>
      <c r="N144" t="str">
        <f t="shared" si="36"/>
        <v>Lo-Hi</v>
      </c>
      <c r="O144" t="str">
        <f t="shared" si="37"/>
        <v>N-Ref</v>
      </c>
      <c r="Q144">
        <f t="shared" si="38"/>
        <v>139</v>
      </c>
      <c r="R144" t="str">
        <f t="shared" si="30"/>
        <v>CRef.</v>
      </c>
      <c r="S144" t="str">
        <f t="shared" si="31"/>
        <v>SHi.</v>
      </c>
      <c r="T144" t="str">
        <f t="shared" si="32"/>
        <v>ReLo.</v>
      </c>
      <c r="U144" t="str">
        <f t="shared" si="33"/>
        <v>NN.</v>
      </c>
      <c r="V144" t="str">
        <f t="shared" si="34"/>
        <v>RgN.</v>
      </c>
    </row>
    <row r="145" spans="1:22">
      <c r="A145">
        <v>1</v>
      </c>
      <c r="B145" t="str">
        <f t="shared" si="26"/>
        <v>IEMM~140</v>
      </c>
      <c r="C145" t="str">
        <f t="shared" si="27"/>
        <v>CCap.SHi.ReLo.NN.RgN.</v>
      </c>
      <c r="D145" t="str">
        <f t="shared" si="28"/>
        <v>CCap.SHi.ReLo.NN.RgN.</v>
      </c>
      <c r="E145" t="str">
        <f t="shared" si="29"/>
        <v>CCap.SHi.ReLo.NN.RgN.</v>
      </c>
      <c r="H145" t="str">
        <f t="shared" si="35"/>
        <v>CCap.SHi.ReLo.NN.RgN.</v>
      </c>
      <c r="I145" t="s">
        <v>59</v>
      </c>
      <c r="J145" t="s">
        <v>51</v>
      </c>
      <c r="K145" t="s">
        <v>52</v>
      </c>
      <c r="L145" t="s">
        <v>11</v>
      </c>
      <c r="M145" t="s">
        <v>11</v>
      </c>
      <c r="N145" t="str">
        <f t="shared" si="36"/>
        <v>Lo-Hi</v>
      </c>
      <c r="O145" t="str">
        <f t="shared" si="37"/>
        <v>N-Cap</v>
      </c>
      <c r="Q145">
        <f t="shared" si="38"/>
        <v>140</v>
      </c>
      <c r="R145" t="str">
        <f t="shared" si="30"/>
        <v>CCap.</v>
      </c>
      <c r="S145" t="str">
        <f t="shared" si="31"/>
        <v>SHi.</v>
      </c>
      <c r="T145" t="str">
        <f t="shared" si="32"/>
        <v>ReLo.</v>
      </c>
      <c r="U145" t="str">
        <f t="shared" si="33"/>
        <v>NN.</v>
      </c>
      <c r="V145" t="str">
        <f t="shared" si="34"/>
        <v>RgN.</v>
      </c>
    </row>
    <row r="146" spans="1:22">
      <c r="A146">
        <v>1</v>
      </c>
      <c r="B146" t="str">
        <f t="shared" si="26"/>
        <v>IEMM~141</v>
      </c>
      <c r="C146" t="str">
        <f t="shared" si="27"/>
        <v>C25-5.SHi.ReLo.NN.RgN.</v>
      </c>
      <c r="D146" t="str">
        <f t="shared" si="28"/>
        <v>C25-5.SHi.ReLo.NN.RgN.</v>
      </c>
      <c r="E146" t="str">
        <f t="shared" si="29"/>
        <v>C25-5.SHi.ReLo.NN.RgN.</v>
      </c>
      <c r="H146" t="str">
        <f t="shared" si="35"/>
        <v>C25-5.SHi.ReLo.NN.RgN.</v>
      </c>
      <c r="I146" t="s">
        <v>60</v>
      </c>
      <c r="J146" t="s">
        <v>51</v>
      </c>
      <c r="K146" t="s">
        <v>52</v>
      </c>
      <c r="L146" t="s">
        <v>11</v>
      </c>
      <c r="M146" t="s">
        <v>11</v>
      </c>
      <c r="N146" t="str">
        <f t="shared" si="36"/>
        <v>Lo-Hi</v>
      </c>
      <c r="O146" t="str">
        <f t="shared" si="37"/>
        <v>N-25-5</v>
      </c>
      <c r="Q146">
        <f t="shared" si="38"/>
        <v>141</v>
      </c>
      <c r="R146" t="str">
        <f t="shared" si="30"/>
        <v>C25-5.</v>
      </c>
      <c r="S146" t="str">
        <f t="shared" si="31"/>
        <v>SHi.</v>
      </c>
      <c r="T146" t="str">
        <f t="shared" si="32"/>
        <v>ReLo.</v>
      </c>
      <c r="U146" t="str">
        <f t="shared" si="33"/>
        <v>NN.</v>
      </c>
      <c r="V146" t="str">
        <f t="shared" si="34"/>
        <v>RgN.</v>
      </c>
    </row>
    <row r="147" spans="1:22">
      <c r="A147">
        <v>1</v>
      </c>
      <c r="B147" t="str">
        <f t="shared" si="26"/>
        <v>IEMM~142</v>
      </c>
      <c r="C147" t="str">
        <f t="shared" si="27"/>
        <v>C50-5.SHi.ReLo.NN.RgN.</v>
      </c>
      <c r="D147" t="str">
        <f t="shared" si="28"/>
        <v>C50-5.SHi.ReLo.NN.RgN.</v>
      </c>
      <c r="E147" t="str">
        <f t="shared" si="29"/>
        <v>C50-5.SHi.ReLo.NN.RgN.</v>
      </c>
      <c r="H147" t="str">
        <f t="shared" si="35"/>
        <v>C50-5.SHi.ReLo.NN.RgN.</v>
      </c>
      <c r="I147" t="s">
        <v>61</v>
      </c>
      <c r="J147" t="s">
        <v>51</v>
      </c>
      <c r="K147" t="s">
        <v>52</v>
      </c>
      <c r="L147" t="s">
        <v>11</v>
      </c>
      <c r="M147" t="s">
        <v>11</v>
      </c>
      <c r="N147" t="str">
        <f t="shared" si="36"/>
        <v>Lo-Hi</v>
      </c>
      <c r="O147" t="str">
        <f t="shared" si="37"/>
        <v>N-50-5</v>
      </c>
      <c r="Q147">
        <f t="shared" si="38"/>
        <v>142</v>
      </c>
      <c r="R147" t="str">
        <f t="shared" si="30"/>
        <v>C50-5.</v>
      </c>
      <c r="S147" t="str">
        <f t="shared" si="31"/>
        <v>SHi.</v>
      </c>
      <c r="T147" t="str">
        <f t="shared" si="32"/>
        <v>ReLo.</v>
      </c>
      <c r="U147" t="str">
        <f t="shared" si="33"/>
        <v>NN.</v>
      </c>
      <c r="V147" t="str">
        <f t="shared" si="34"/>
        <v>RgN.</v>
      </c>
    </row>
    <row r="148" spans="1:22">
      <c r="A148">
        <v>1</v>
      </c>
      <c r="B148" t="str">
        <f t="shared" si="26"/>
        <v>IEMM~143</v>
      </c>
      <c r="C148" t="str">
        <f t="shared" si="27"/>
        <v>C25-1.SHi.ReLo.NN.RgN.</v>
      </c>
      <c r="D148" t="str">
        <f t="shared" si="28"/>
        <v>C25-1.SHi.ReLo.NN.RgN.</v>
      </c>
      <c r="E148" t="str">
        <f t="shared" si="29"/>
        <v>C25-1.SHi.ReLo.NN.RgN.</v>
      </c>
      <c r="H148" t="str">
        <f t="shared" si="35"/>
        <v>C25-1.SHi.ReLo.NN.RgN.</v>
      </c>
      <c r="I148" t="s">
        <v>62</v>
      </c>
      <c r="J148" t="s">
        <v>51</v>
      </c>
      <c r="K148" t="s">
        <v>52</v>
      </c>
      <c r="L148" t="s">
        <v>11</v>
      </c>
      <c r="M148" t="s">
        <v>11</v>
      </c>
      <c r="N148" t="str">
        <f t="shared" si="36"/>
        <v>Lo-Hi</v>
      </c>
      <c r="O148" t="str">
        <f t="shared" si="37"/>
        <v>N-25-1</v>
      </c>
      <c r="Q148">
        <f t="shared" si="38"/>
        <v>143</v>
      </c>
      <c r="R148" t="str">
        <f t="shared" si="30"/>
        <v>C25-1.</v>
      </c>
      <c r="S148" t="str">
        <f t="shared" si="31"/>
        <v>SHi.</v>
      </c>
      <c r="T148" t="str">
        <f t="shared" si="32"/>
        <v>ReLo.</v>
      </c>
      <c r="U148" t="str">
        <f t="shared" si="33"/>
        <v>NN.</v>
      </c>
      <c r="V148" t="str">
        <f t="shared" si="34"/>
        <v>RgN.</v>
      </c>
    </row>
    <row r="149" spans="1:22">
      <c r="A149">
        <v>1</v>
      </c>
      <c r="B149" t="str">
        <f t="shared" si="26"/>
        <v>IEMM~144</v>
      </c>
      <c r="C149" t="str">
        <f t="shared" si="27"/>
        <v>C50-1.SHi.ReLo.NN.RgN.</v>
      </c>
      <c r="D149" t="str">
        <f t="shared" si="28"/>
        <v>C50-1.SHi.ReLo.NN.RgN.</v>
      </c>
      <c r="E149" t="str">
        <f t="shared" si="29"/>
        <v>C50-1.SHi.ReLo.NN.RgN.</v>
      </c>
      <c r="H149" t="str">
        <f t="shared" si="35"/>
        <v>C50-1.SHi.ReLo.NN.RgN.</v>
      </c>
      <c r="I149" t="s">
        <v>63</v>
      </c>
      <c r="J149" t="s">
        <v>51</v>
      </c>
      <c r="K149" t="s">
        <v>52</v>
      </c>
      <c r="L149" t="s">
        <v>11</v>
      </c>
      <c r="M149" t="s">
        <v>11</v>
      </c>
      <c r="N149" t="str">
        <f t="shared" si="36"/>
        <v>Lo-Hi</v>
      </c>
      <c r="O149" t="str">
        <f t="shared" si="37"/>
        <v>N-50-1</v>
      </c>
      <c r="Q149">
        <f t="shared" si="38"/>
        <v>144</v>
      </c>
      <c r="R149" t="str">
        <f t="shared" si="30"/>
        <v>C50-1.</v>
      </c>
      <c r="S149" t="str">
        <f t="shared" si="31"/>
        <v>SHi.</v>
      </c>
      <c r="T149" t="str">
        <f t="shared" si="32"/>
        <v>ReLo.</v>
      </c>
      <c r="U149" t="str">
        <f t="shared" si="33"/>
        <v>NN.</v>
      </c>
      <c r="V149" t="str">
        <f t="shared" si="34"/>
        <v>RgN.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6"/>
  <sheetViews>
    <sheetView tabSelected="1" zoomScaleNormal="100" workbookViewId="0">
      <pane ySplit="2" topLeftCell="A3" activePane="bottomLeft" state="frozen"/>
      <selection pane="bottomLeft" activeCell="D4" sqref="D4"/>
    </sheetView>
  </sheetViews>
  <sheetFormatPr defaultColWidth="9.1328125" defaultRowHeight="14.25"/>
  <cols>
    <col min="1" max="1" width="13.86328125" bestFit="1" customWidth="1"/>
    <col min="2" max="2" width="11.132812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1" width="8.73046875" bestFit="1" customWidth="1"/>
    <col min="12" max="12" width="6.86328125" bestFit="1" customWidth="1"/>
    <col min="13" max="13" width="9.265625" bestFit="1" customWidth="1"/>
    <col min="14" max="14" width="27" bestFit="1" customWidth="1"/>
    <col min="15" max="15" width="23.73046875" bestFit="1" customWidth="1"/>
    <col min="16" max="16" width="38.265625" customWidth="1"/>
    <col min="17" max="17" width="9.265625" bestFit="1" customWidth="1"/>
    <col min="18" max="18" width="2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>
      <c r="A1" t="s">
        <v>31</v>
      </c>
    </row>
    <row r="2" spans="1:21">
      <c r="A2" s="1" t="s">
        <v>21</v>
      </c>
      <c r="B2" s="1" t="s">
        <v>32</v>
      </c>
      <c r="C2" s="1" t="s">
        <v>22</v>
      </c>
      <c r="D2" s="1" t="s">
        <v>23</v>
      </c>
      <c r="E2" s="1" t="s">
        <v>27</v>
      </c>
      <c r="F2" s="1" t="s">
        <v>28</v>
      </c>
      <c r="G2" s="1" t="s">
        <v>29</v>
      </c>
      <c r="H2" s="1" t="s">
        <v>24</v>
      </c>
      <c r="I2" s="1" t="s">
        <v>25</v>
      </c>
      <c r="J2" s="1" t="s">
        <v>26</v>
      </c>
      <c r="K2" s="1" t="s">
        <v>0</v>
      </c>
      <c r="L2" s="1" t="s">
        <v>14</v>
      </c>
      <c r="M2" s="1" t="s">
        <v>33</v>
      </c>
      <c r="N2" s="1" t="s">
        <v>2</v>
      </c>
      <c r="O2" s="1" t="s">
        <v>1</v>
      </c>
      <c r="P2" s="1" t="s">
        <v>19</v>
      </c>
      <c r="Q2" s="1" t="s">
        <v>106</v>
      </c>
      <c r="R2" s="1" t="s">
        <v>107</v>
      </c>
    </row>
    <row r="3" spans="1:21">
      <c r="A3" t="s">
        <v>36</v>
      </c>
      <c r="C3" t="s">
        <v>958</v>
      </c>
      <c r="H3" t="s">
        <v>37</v>
      </c>
      <c r="K3" t="s">
        <v>75</v>
      </c>
      <c r="N3" t="s">
        <v>102</v>
      </c>
      <c r="Q3" t="s">
        <v>191</v>
      </c>
    </row>
    <row r="4" spans="1:21">
      <c r="A4" t="s">
        <v>12</v>
      </c>
      <c r="C4" t="s">
        <v>104</v>
      </c>
      <c r="H4" t="s">
        <v>105</v>
      </c>
      <c r="I4" t="s">
        <v>192</v>
      </c>
      <c r="K4" t="s">
        <v>305</v>
      </c>
      <c r="N4" t="s">
        <v>103</v>
      </c>
      <c r="Q4" t="s">
        <v>191</v>
      </c>
    </row>
    <row r="5" spans="1:21">
      <c r="A5" t="s">
        <v>15</v>
      </c>
      <c r="C5" t="s">
        <v>243</v>
      </c>
      <c r="K5" t="s">
        <v>16</v>
      </c>
      <c r="N5" t="s">
        <v>245</v>
      </c>
      <c r="P5" t="s">
        <v>251</v>
      </c>
    </row>
    <row r="6" spans="1:21">
      <c r="A6" t="s">
        <v>47</v>
      </c>
      <c r="C6" t="s">
        <v>243</v>
      </c>
      <c r="K6" t="s">
        <v>16</v>
      </c>
      <c r="N6" t="s">
        <v>244</v>
      </c>
      <c r="P6" t="s">
        <v>252</v>
      </c>
      <c r="Q6" t="s">
        <v>80</v>
      </c>
      <c r="T6" s="8" t="s">
        <v>79</v>
      </c>
      <c r="U6" s="8"/>
    </row>
    <row r="7" spans="1:21">
      <c r="A7" t="s">
        <v>12</v>
      </c>
      <c r="C7" t="s">
        <v>243</v>
      </c>
      <c r="I7" t="s">
        <v>216</v>
      </c>
      <c r="K7" t="s">
        <v>75</v>
      </c>
      <c r="N7" t="s">
        <v>246</v>
      </c>
      <c r="P7" t="s">
        <v>253</v>
      </c>
      <c r="T7" s="5" t="s">
        <v>80</v>
      </c>
      <c r="U7" s="5" t="s">
        <v>91</v>
      </c>
    </row>
    <row r="8" spans="1:21">
      <c r="A8" t="s">
        <v>12</v>
      </c>
      <c r="C8" t="s">
        <v>243</v>
      </c>
      <c r="I8" t="s">
        <v>217</v>
      </c>
      <c r="K8" t="s">
        <v>13</v>
      </c>
      <c r="N8" t="s">
        <v>247</v>
      </c>
      <c r="P8" t="s">
        <v>254</v>
      </c>
      <c r="T8" s="5" t="s">
        <v>90</v>
      </c>
      <c r="U8" s="5" t="s">
        <v>92</v>
      </c>
    </row>
    <row r="9" spans="1:21">
      <c r="A9" t="s">
        <v>12</v>
      </c>
      <c r="C9" t="s">
        <v>243</v>
      </c>
      <c r="I9" t="s">
        <v>219</v>
      </c>
      <c r="K9" t="s">
        <v>13</v>
      </c>
      <c r="N9" t="s">
        <v>248</v>
      </c>
      <c r="P9" t="s">
        <v>255</v>
      </c>
      <c r="T9" s="5" t="s">
        <v>88</v>
      </c>
      <c r="U9" s="5" t="s">
        <v>93</v>
      </c>
    </row>
    <row r="10" spans="1:21">
      <c r="A10" t="s">
        <v>36</v>
      </c>
      <c r="C10" t="s">
        <v>243</v>
      </c>
      <c r="H10" t="s">
        <v>37</v>
      </c>
      <c r="K10" t="s">
        <v>75</v>
      </c>
      <c r="N10" t="s">
        <v>249</v>
      </c>
      <c r="P10" t="s">
        <v>256</v>
      </c>
      <c r="T10" s="5" t="s">
        <v>94</v>
      </c>
      <c r="U10" s="5" t="s">
        <v>95</v>
      </c>
    </row>
    <row r="11" spans="1:21">
      <c r="A11" t="s">
        <v>139</v>
      </c>
      <c r="C11" t="s">
        <v>243</v>
      </c>
      <c r="K11" t="s">
        <v>140</v>
      </c>
      <c r="N11" t="s">
        <v>74</v>
      </c>
      <c r="P11" t="s">
        <v>74</v>
      </c>
      <c r="Q11" t="s">
        <v>90</v>
      </c>
      <c r="T11" s="5"/>
      <c r="U11" s="5"/>
    </row>
    <row r="12" spans="1:21">
      <c r="A12" t="s">
        <v>40</v>
      </c>
      <c r="I12" t="s">
        <v>78</v>
      </c>
      <c r="K12" t="s">
        <v>77</v>
      </c>
      <c r="N12" t="s">
        <v>48</v>
      </c>
      <c r="P12" t="s">
        <v>49</v>
      </c>
    </row>
    <row r="13" spans="1:21" ht="14.65" thickBot="1">
      <c r="A13" t="s">
        <v>41</v>
      </c>
      <c r="C13" s="4" t="str">
        <f>$C$5</f>
        <v>ELE,CHP</v>
      </c>
      <c r="K13" t="s">
        <v>76</v>
      </c>
      <c r="N13" t="s">
        <v>250</v>
      </c>
      <c r="P13" t="s">
        <v>257</v>
      </c>
    </row>
    <row r="14" spans="1:21" ht="14.65" thickTop="1">
      <c r="A14" t="s">
        <v>12</v>
      </c>
      <c r="D14" t="s">
        <v>81</v>
      </c>
      <c r="K14" t="s">
        <v>75</v>
      </c>
      <c r="N14" t="s">
        <v>82</v>
      </c>
      <c r="P14" t="s">
        <v>83</v>
      </c>
      <c r="Q14" t="s">
        <v>84</v>
      </c>
    </row>
    <row r="15" spans="1:21">
      <c r="A15" t="s">
        <v>85</v>
      </c>
      <c r="K15" t="s">
        <v>86</v>
      </c>
      <c r="N15" t="s">
        <v>87</v>
      </c>
      <c r="P15" t="s">
        <v>89</v>
      </c>
      <c r="Q15" t="s">
        <v>88</v>
      </c>
    </row>
    <row r="16" spans="1:21">
      <c r="A16" t="s">
        <v>12</v>
      </c>
      <c r="I16" t="s">
        <v>218</v>
      </c>
      <c r="K16" t="s">
        <v>13</v>
      </c>
      <c r="N16" t="s">
        <v>220</v>
      </c>
    </row>
  </sheetData>
  <mergeCells count="1">
    <mergeCell ref="T6:U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89D3-B159-4A51-9FA4-5F1A12713BD1}">
  <dimension ref="B3:T16"/>
  <sheetViews>
    <sheetView workbookViewId="0"/>
  </sheetViews>
  <sheetFormatPr defaultRowHeight="14.25"/>
  <sheetData>
    <row r="3" spans="2:20" ht="17.25" thickBot="1">
      <c r="B3" s="6" t="s">
        <v>263</v>
      </c>
    </row>
    <row r="4" spans="2:20" ht="15" thickTop="1" thickBot="1">
      <c r="B4" s="7" t="s">
        <v>21</v>
      </c>
      <c r="C4" s="7" t="s">
        <v>32</v>
      </c>
      <c r="D4" s="7" t="s">
        <v>22</v>
      </c>
      <c r="E4" s="7" t="s">
        <v>23</v>
      </c>
      <c r="F4" s="7" t="s">
        <v>27</v>
      </c>
      <c r="G4" s="7" t="s">
        <v>28</v>
      </c>
      <c r="H4" s="7" t="s">
        <v>29</v>
      </c>
      <c r="I4" s="7" t="s">
        <v>24</v>
      </c>
      <c r="J4" s="7" t="s">
        <v>25</v>
      </c>
      <c r="K4" s="7" t="s">
        <v>26</v>
      </c>
      <c r="L4" s="7" t="s">
        <v>0</v>
      </c>
      <c r="M4" s="7" t="s">
        <v>14</v>
      </c>
      <c r="N4" s="7" t="s">
        <v>33</v>
      </c>
      <c r="O4" s="7" t="s">
        <v>2</v>
      </c>
      <c r="P4" s="7" t="s">
        <v>1</v>
      </c>
      <c r="Q4" s="7" t="s">
        <v>19</v>
      </c>
      <c r="R4" s="7" t="s">
        <v>106</v>
      </c>
      <c r="S4" s="7" t="s">
        <v>258</v>
      </c>
      <c r="T4" s="7" t="s">
        <v>259</v>
      </c>
    </row>
    <row r="5" spans="2:20">
      <c r="B5" t="s">
        <v>12</v>
      </c>
      <c r="E5" t="s">
        <v>230</v>
      </c>
      <c r="I5" t="s">
        <v>308</v>
      </c>
      <c r="L5" t="s">
        <v>75</v>
      </c>
      <c r="O5" t="s">
        <v>260</v>
      </c>
      <c r="R5" t="s">
        <v>261</v>
      </c>
    </row>
    <row r="6" spans="2:20">
      <c r="B6" t="s">
        <v>36</v>
      </c>
      <c r="E6" t="s">
        <v>230</v>
      </c>
      <c r="I6" t="s">
        <v>308</v>
      </c>
      <c r="L6" t="s">
        <v>264</v>
      </c>
      <c r="O6" t="s">
        <v>262</v>
      </c>
      <c r="R6" t="s">
        <v>261</v>
      </c>
    </row>
    <row r="10" spans="2:20" ht="17.25" thickBot="1">
      <c r="B10" s="6" t="s">
        <v>304</v>
      </c>
    </row>
    <row r="11" spans="2:20" ht="15" thickTop="1" thickBot="1">
      <c r="B11" s="7" t="s">
        <v>21</v>
      </c>
      <c r="C11" s="7" t="s">
        <v>32</v>
      </c>
      <c r="D11" s="7" t="s">
        <v>22</v>
      </c>
      <c r="E11" s="7" t="s">
        <v>23</v>
      </c>
      <c r="F11" s="7" t="s">
        <v>27</v>
      </c>
      <c r="G11" s="7" t="s">
        <v>28</v>
      </c>
      <c r="H11" s="7" t="s">
        <v>29</v>
      </c>
      <c r="I11" s="7" t="s">
        <v>24</v>
      </c>
      <c r="J11" s="7" t="s">
        <v>25</v>
      </c>
      <c r="K11" s="7" t="s">
        <v>26</v>
      </c>
      <c r="L11" s="7" t="s">
        <v>0</v>
      </c>
      <c r="M11" s="7" t="s">
        <v>14</v>
      </c>
      <c r="N11" s="7" t="s">
        <v>33</v>
      </c>
      <c r="O11" s="7" t="s">
        <v>2</v>
      </c>
      <c r="P11" s="7" t="s">
        <v>1</v>
      </c>
      <c r="Q11" s="7" t="s">
        <v>19</v>
      </c>
      <c r="R11" s="7" t="s">
        <v>106</v>
      </c>
      <c r="S11" s="7" t="s">
        <v>258</v>
      </c>
      <c r="T11" s="7" t="s">
        <v>259</v>
      </c>
    </row>
    <row r="12" spans="2:20">
      <c r="B12" t="s">
        <v>12</v>
      </c>
      <c r="D12" t="str">
        <f>'PSet_MAP coarse'!F13</f>
        <v>DMD_TRA-F-HTRUCK,DMD_TRA-F-LTRUCK,DMD_TRA-F-MTRUCK,DMD_TRA-F-TRAIN,DMD_TRA-P-ACTIVE,DMD_TRA-P-BUS,DMD_TRA-P-CAR,DMD_TRA-P-HPT,DMD_TRA-P-LPT,DMD_TRA-P-MOT,DMD_TRA-P-TAXI</v>
      </c>
      <c r="J12" t="str">
        <f>CName_MAP!F6</f>
        <v>TRAPS,TRAPM,TRAPL,TRAF</v>
      </c>
      <c r="L12" t="s">
        <v>305</v>
      </c>
      <c r="O12" t="s">
        <v>306</v>
      </c>
    </row>
    <row r="13" spans="2:20">
      <c r="B13" t="s">
        <v>36</v>
      </c>
      <c r="D13" t="str">
        <f>D12</f>
        <v>DMD_TRA-F-HTRUCK,DMD_TRA-F-LTRUCK,DMD_TRA-F-MTRUCK,DMD_TRA-F-TRAIN,DMD_TRA-P-ACTIVE,DMD_TRA-P-BUS,DMD_TRA-P-CAR,DMD_TRA-P-HPT,DMD_TRA-P-LPT,DMD_TRA-P-MOT,DMD_TRA-P-TAXI</v>
      </c>
      <c r="I13" t="s">
        <v>37</v>
      </c>
      <c r="L13" t="s">
        <v>75</v>
      </c>
      <c r="O13" t="s">
        <v>307</v>
      </c>
    </row>
    <row r="14" spans="2:20">
      <c r="B14" t="s">
        <v>230</v>
      </c>
    </row>
    <row r="15" spans="2:20">
      <c r="B15" t="s">
        <v>12</v>
      </c>
      <c r="H15" t="str">
        <f>CName_MAP!$F$11</f>
        <v>TTURS,TNAV,TOTH,TAVIDOM,TAVIINT</v>
      </c>
      <c r="J15" t="str">
        <f>H15</f>
        <v>TTURS,TNAV,TOTH,TAVIDOM,TAVIINT</v>
      </c>
      <c r="L15" t="s">
        <v>305</v>
      </c>
      <c r="O15" t="s">
        <v>260</v>
      </c>
    </row>
    <row r="16" spans="2:20">
      <c r="B16" t="s">
        <v>36</v>
      </c>
      <c r="H16" t="str">
        <f>H15</f>
        <v>TTURS,TNAV,TOTH,TAVIDOM,TAVIINT</v>
      </c>
      <c r="I16" t="s">
        <v>37</v>
      </c>
      <c r="L16" t="s">
        <v>305</v>
      </c>
      <c r="O16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8B32-E74A-4535-AAC7-EA2344AB3384}">
  <dimension ref="A1:Y51"/>
  <sheetViews>
    <sheetView workbookViewId="0"/>
  </sheetViews>
  <sheetFormatPr defaultRowHeight="14.25"/>
  <cols>
    <col min="1" max="1" width="30.19921875" bestFit="1" customWidth="1"/>
    <col min="2" max="2" width="9.6640625" bestFit="1" customWidth="1"/>
    <col min="3" max="3" width="7.86328125" bestFit="1" customWidth="1"/>
    <col min="4" max="4" width="44.59765625" customWidth="1"/>
    <col min="5" max="5" width="7.59765625" bestFit="1" customWidth="1"/>
    <col min="6" max="6" width="15.06640625" bestFit="1" customWidth="1"/>
    <col min="7" max="7" width="7.6640625" bestFit="1" customWidth="1"/>
    <col min="8" max="8" width="7.86328125" bestFit="1" customWidth="1"/>
    <col min="9" max="9" width="44.59765625" customWidth="1"/>
    <col min="10" max="10" width="7.59765625" bestFit="1" customWidth="1"/>
    <col min="11" max="13" width="5.59765625" customWidth="1"/>
    <col min="14" max="14" width="37.86328125" bestFit="1" customWidth="1"/>
    <col min="15" max="15" width="5.59765625" customWidth="1"/>
    <col min="16" max="16" width="44.1328125" bestFit="1" customWidth="1"/>
    <col min="17" max="17" width="8.265625" bestFit="1" customWidth="1"/>
    <col min="18" max="18" width="5.73046875" bestFit="1" customWidth="1"/>
    <col min="19" max="19" width="11" bestFit="1" customWidth="1"/>
    <col min="21" max="21" width="12.46484375" bestFit="1" customWidth="1"/>
    <col min="22" max="23" width="23.3984375" bestFit="1" customWidth="1"/>
    <col min="25" max="25" width="44.59765625" customWidth="1"/>
  </cols>
  <sheetData>
    <row r="1" spans="1:25">
      <c r="A1" t="s">
        <v>597</v>
      </c>
      <c r="U1" t="s">
        <v>38</v>
      </c>
    </row>
    <row r="2" spans="1:25">
      <c r="A2" t="s">
        <v>21</v>
      </c>
      <c r="B2" t="s">
        <v>32</v>
      </c>
      <c r="C2" t="s">
        <v>22</v>
      </c>
      <c r="D2" t="s">
        <v>23</v>
      </c>
      <c r="E2" t="s">
        <v>27</v>
      </c>
      <c r="F2" t="s">
        <v>28</v>
      </c>
      <c r="G2" t="s">
        <v>29</v>
      </c>
      <c r="H2" t="s">
        <v>24</v>
      </c>
      <c r="I2" t="s">
        <v>25</v>
      </c>
      <c r="J2" t="s">
        <v>26</v>
      </c>
      <c r="K2" t="s">
        <v>0</v>
      </c>
      <c r="L2" t="s">
        <v>14</v>
      </c>
      <c r="M2" t="s">
        <v>33</v>
      </c>
      <c r="N2" t="s">
        <v>2</v>
      </c>
      <c r="O2" t="s">
        <v>1</v>
      </c>
      <c r="P2" t="s">
        <v>19</v>
      </c>
      <c r="Q2" t="s">
        <v>106</v>
      </c>
      <c r="R2" t="s">
        <v>258</v>
      </c>
      <c r="S2" t="s">
        <v>259</v>
      </c>
      <c r="U2" t="s">
        <v>39</v>
      </c>
      <c r="V2" t="s">
        <v>1</v>
      </c>
      <c r="W2" t="s">
        <v>19</v>
      </c>
      <c r="Y2" t="s">
        <v>702</v>
      </c>
    </row>
    <row r="3" spans="1:25">
      <c r="A3" t="s">
        <v>36</v>
      </c>
      <c r="D3" t="s">
        <v>598</v>
      </c>
      <c r="F3" t="s">
        <v>403</v>
      </c>
      <c r="I3" t="s">
        <v>599</v>
      </c>
      <c r="K3" t="s">
        <v>264</v>
      </c>
      <c r="N3" t="s">
        <v>600</v>
      </c>
      <c r="P3" t="s">
        <v>601</v>
      </c>
      <c r="U3" t="s">
        <v>647</v>
      </c>
      <c r="V3" t="s">
        <v>100</v>
      </c>
      <c r="W3" t="s">
        <v>100</v>
      </c>
    </row>
    <row r="4" spans="1:25">
      <c r="A4" t="s">
        <v>12</v>
      </c>
      <c r="D4" t="s">
        <v>598</v>
      </c>
      <c r="F4" t="s">
        <v>403</v>
      </c>
      <c r="I4" t="s">
        <v>602</v>
      </c>
      <c r="K4" t="s">
        <v>75</v>
      </c>
      <c r="N4" t="s">
        <v>603</v>
      </c>
      <c r="P4" t="s">
        <v>604</v>
      </c>
      <c r="U4" t="s">
        <v>648</v>
      </c>
      <c r="V4" t="s">
        <v>520</v>
      </c>
      <c r="W4" t="s">
        <v>520</v>
      </c>
      <c r="Y4" t="s">
        <v>703</v>
      </c>
    </row>
    <row r="5" spans="1:25">
      <c r="A5" t="s">
        <v>36</v>
      </c>
      <c r="D5" t="s">
        <v>725</v>
      </c>
      <c r="I5" t="s">
        <v>599</v>
      </c>
      <c r="K5" t="s">
        <v>264</v>
      </c>
      <c r="N5" t="s">
        <v>600</v>
      </c>
      <c r="P5" t="s">
        <v>601</v>
      </c>
      <c r="U5" t="s">
        <v>649</v>
      </c>
      <c r="V5" t="s">
        <v>200</v>
      </c>
      <c r="W5" t="s">
        <v>200</v>
      </c>
      <c r="Y5" t="s">
        <v>704</v>
      </c>
    </row>
    <row r="6" spans="1:25">
      <c r="A6" t="s">
        <v>12</v>
      </c>
      <c r="D6" t="s">
        <v>725</v>
      </c>
      <c r="I6" t="s">
        <v>602</v>
      </c>
      <c r="K6" t="s">
        <v>75</v>
      </c>
      <c r="N6" t="s">
        <v>603</v>
      </c>
      <c r="P6" t="s">
        <v>604</v>
      </c>
      <c r="U6" t="s">
        <v>650</v>
      </c>
      <c r="V6" t="s">
        <v>527</v>
      </c>
      <c r="W6" t="s">
        <v>527</v>
      </c>
      <c r="Y6" t="s">
        <v>705</v>
      </c>
    </row>
    <row r="7" spans="1:25">
      <c r="A7" t="s">
        <v>36</v>
      </c>
      <c r="D7" t="s">
        <v>726</v>
      </c>
      <c r="I7" t="s">
        <v>599</v>
      </c>
      <c r="K7" t="s">
        <v>264</v>
      </c>
      <c r="N7" t="s">
        <v>605</v>
      </c>
      <c r="P7" t="s">
        <v>606</v>
      </c>
      <c r="U7" t="s">
        <v>651</v>
      </c>
      <c r="V7" t="s">
        <v>446</v>
      </c>
      <c r="W7" t="s">
        <v>446</v>
      </c>
      <c r="Y7" t="s">
        <v>706</v>
      </c>
    </row>
    <row r="8" spans="1:25">
      <c r="A8" t="s">
        <v>12</v>
      </c>
      <c r="D8" t="s">
        <v>726</v>
      </c>
      <c r="I8" t="s">
        <v>602</v>
      </c>
      <c r="K8" t="s">
        <v>75</v>
      </c>
      <c r="N8" t="s">
        <v>607</v>
      </c>
      <c r="P8" t="s">
        <v>608</v>
      </c>
      <c r="U8" t="s">
        <v>652</v>
      </c>
      <c r="V8" t="s">
        <v>448</v>
      </c>
      <c r="W8" t="s">
        <v>448</v>
      </c>
      <c r="Y8" t="s">
        <v>707</v>
      </c>
    </row>
    <row r="9" spans="1:25">
      <c r="A9" t="s">
        <v>36</v>
      </c>
      <c r="D9" t="s">
        <v>727</v>
      </c>
      <c r="I9" t="s">
        <v>599</v>
      </c>
      <c r="K9" t="s">
        <v>264</v>
      </c>
      <c r="N9" t="s">
        <v>728</v>
      </c>
      <c r="P9" t="s">
        <v>729</v>
      </c>
      <c r="U9" t="s">
        <v>653</v>
      </c>
      <c r="V9" t="s">
        <v>533</v>
      </c>
      <c r="W9" t="s">
        <v>533</v>
      </c>
      <c r="Y9" t="s">
        <v>708</v>
      </c>
    </row>
    <row r="10" spans="1:25">
      <c r="A10" t="s">
        <v>12</v>
      </c>
      <c r="D10" t="s">
        <v>727</v>
      </c>
      <c r="I10" t="s">
        <v>602</v>
      </c>
      <c r="K10" t="s">
        <v>75</v>
      </c>
      <c r="N10" t="s">
        <v>730</v>
      </c>
      <c r="P10" t="s">
        <v>731</v>
      </c>
      <c r="U10" t="s">
        <v>654</v>
      </c>
      <c r="V10" t="s">
        <v>396</v>
      </c>
      <c r="W10" t="s">
        <v>396</v>
      </c>
    </row>
    <row r="11" spans="1:25">
      <c r="A11" t="s">
        <v>36</v>
      </c>
      <c r="D11" t="s">
        <v>609</v>
      </c>
      <c r="I11" t="s">
        <v>599</v>
      </c>
      <c r="K11" t="s">
        <v>264</v>
      </c>
      <c r="N11" t="s">
        <v>610</v>
      </c>
      <c r="P11" t="s">
        <v>611</v>
      </c>
      <c r="U11" t="s">
        <v>655</v>
      </c>
      <c r="V11" t="s">
        <v>398</v>
      </c>
      <c r="W11" t="s">
        <v>398</v>
      </c>
      <c r="Y11" t="s">
        <v>709</v>
      </c>
    </row>
    <row r="12" spans="1:25">
      <c r="A12" t="s">
        <v>12</v>
      </c>
      <c r="D12" t="s">
        <v>609</v>
      </c>
      <c r="I12" t="s">
        <v>602</v>
      </c>
      <c r="K12" t="s">
        <v>75</v>
      </c>
      <c r="N12" t="s">
        <v>612</v>
      </c>
      <c r="P12" t="s">
        <v>613</v>
      </c>
      <c r="U12" t="s">
        <v>656</v>
      </c>
      <c r="V12" t="s">
        <v>540</v>
      </c>
      <c r="W12" t="s">
        <v>540</v>
      </c>
      <c r="Y12" t="s">
        <v>710</v>
      </c>
    </row>
    <row r="13" spans="1:25">
      <c r="A13" t="s">
        <v>36</v>
      </c>
      <c r="D13" t="s">
        <v>614</v>
      </c>
      <c r="I13" t="s">
        <v>599</v>
      </c>
      <c r="K13" t="s">
        <v>264</v>
      </c>
      <c r="N13" t="s">
        <v>615</v>
      </c>
      <c r="P13" t="s">
        <v>616</v>
      </c>
      <c r="U13" t="s">
        <v>657</v>
      </c>
      <c r="V13" t="s">
        <v>542</v>
      </c>
      <c r="W13" t="s">
        <v>542</v>
      </c>
      <c r="Y13" t="s">
        <v>711</v>
      </c>
    </row>
    <row r="14" spans="1:25">
      <c r="A14" t="s">
        <v>12</v>
      </c>
      <c r="D14" t="s">
        <v>614</v>
      </c>
      <c r="I14" t="s">
        <v>602</v>
      </c>
      <c r="K14" t="s">
        <v>75</v>
      </c>
      <c r="N14" t="s">
        <v>617</v>
      </c>
      <c r="P14" t="s">
        <v>618</v>
      </c>
      <c r="U14" t="s">
        <v>658</v>
      </c>
      <c r="V14" t="s">
        <v>538</v>
      </c>
      <c r="W14" t="s">
        <v>538</v>
      </c>
      <c r="Y14" t="s">
        <v>712</v>
      </c>
    </row>
    <row r="15" spans="1:25">
      <c r="A15" t="s">
        <v>36</v>
      </c>
      <c r="D15" t="s">
        <v>619</v>
      </c>
      <c r="I15" t="s">
        <v>599</v>
      </c>
      <c r="K15" t="s">
        <v>264</v>
      </c>
      <c r="N15" t="s">
        <v>620</v>
      </c>
      <c r="P15" t="s">
        <v>621</v>
      </c>
      <c r="U15" t="s">
        <v>659</v>
      </c>
      <c r="V15" t="s">
        <v>538</v>
      </c>
      <c r="W15" t="s">
        <v>538</v>
      </c>
      <c r="Y15" t="s">
        <v>713</v>
      </c>
    </row>
    <row r="16" spans="1:25">
      <c r="A16" t="s">
        <v>12</v>
      </c>
      <c r="D16" t="s">
        <v>619</v>
      </c>
      <c r="I16" t="s">
        <v>602</v>
      </c>
      <c r="K16" t="s">
        <v>75</v>
      </c>
      <c r="N16" t="s">
        <v>622</v>
      </c>
      <c r="P16" t="s">
        <v>623</v>
      </c>
      <c r="U16" t="s">
        <v>660</v>
      </c>
      <c r="V16" t="s">
        <v>331</v>
      </c>
      <c r="W16" t="s">
        <v>331</v>
      </c>
    </row>
    <row r="17" spans="1:25">
      <c r="A17" t="s">
        <v>36</v>
      </c>
      <c r="D17" t="s">
        <v>624</v>
      </c>
      <c r="I17" t="s">
        <v>599</v>
      </c>
      <c r="K17" t="s">
        <v>264</v>
      </c>
      <c r="N17" t="s">
        <v>625</v>
      </c>
      <c r="P17" t="s">
        <v>626</v>
      </c>
      <c r="U17" t="s">
        <v>661</v>
      </c>
      <c r="V17" t="s">
        <v>331</v>
      </c>
      <c r="W17" t="s">
        <v>331</v>
      </c>
      <c r="Y17" t="s">
        <v>744</v>
      </c>
    </row>
    <row r="18" spans="1:25">
      <c r="A18" t="s">
        <v>12</v>
      </c>
      <c r="D18" t="s">
        <v>624</v>
      </c>
      <c r="I18" t="s">
        <v>602</v>
      </c>
      <c r="K18" t="s">
        <v>75</v>
      </c>
      <c r="N18" t="s">
        <v>627</v>
      </c>
      <c r="P18" t="s">
        <v>628</v>
      </c>
      <c r="U18" t="s">
        <v>662</v>
      </c>
      <c r="V18" t="s">
        <v>331</v>
      </c>
      <c r="W18" t="s">
        <v>331</v>
      </c>
      <c r="Y18" t="s">
        <v>745</v>
      </c>
    </row>
    <row r="19" spans="1:25">
      <c r="A19" t="s">
        <v>36</v>
      </c>
      <c r="D19" t="s">
        <v>395</v>
      </c>
      <c r="I19" t="s">
        <v>599</v>
      </c>
      <c r="K19" t="s">
        <v>264</v>
      </c>
      <c r="N19" t="s">
        <v>732</v>
      </c>
      <c r="P19" t="s">
        <v>733</v>
      </c>
      <c r="U19" t="s">
        <v>663</v>
      </c>
      <c r="V19" t="s">
        <v>331</v>
      </c>
      <c r="W19" t="s">
        <v>331</v>
      </c>
      <c r="Y19" t="s">
        <v>746</v>
      </c>
    </row>
    <row r="20" spans="1:25">
      <c r="A20" t="s">
        <v>12</v>
      </c>
      <c r="D20" t="s">
        <v>395</v>
      </c>
      <c r="I20" t="s">
        <v>602</v>
      </c>
      <c r="K20" t="s">
        <v>75</v>
      </c>
      <c r="N20" t="s">
        <v>734</v>
      </c>
      <c r="P20" t="s">
        <v>735</v>
      </c>
      <c r="U20" t="s">
        <v>664</v>
      </c>
      <c r="V20" t="s">
        <v>331</v>
      </c>
      <c r="W20" t="s">
        <v>331</v>
      </c>
      <c r="Y20" t="s">
        <v>747</v>
      </c>
    </row>
    <row r="21" spans="1:25">
      <c r="A21" t="s">
        <v>36</v>
      </c>
      <c r="D21" t="s">
        <v>338</v>
      </c>
      <c r="I21" t="s">
        <v>599</v>
      </c>
      <c r="K21" t="s">
        <v>264</v>
      </c>
      <c r="N21" t="s">
        <v>629</v>
      </c>
      <c r="P21" t="s">
        <v>630</v>
      </c>
      <c r="U21" t="s">
        <v>665</v>
      </c>
      <c r="V21" t="s">
        <v>331</v>
      </c>
      <c r="W21" t="s">
        <v>331</v>
      </c>
      <c r="Y21" t="s">
        <v>748</v>
      </c>
    </row>
    <row r="22" spans="1:25">
      <c r="A22" t="s">
        <v>12</v>
      </c>
      <c r="D22" t="s">
        <v>338</v>
      </c>
      <c r="I22" t="s">
        <v>602</v>
      </c>
      <c r="K22" t="s">
        <v>75</v>
      </c>
      <c r="N22" t="s">
        <v>631</v>
      </c>
      <c r="P22" t="s">
        <v>632</v>
      </c>
      <c r="U22" t="s">
        <v>666</v>
      </c>
      <c r="V22" t="s">
        <v>331</v>
      </c>
      <c r="W22" t="s">
        <v>331</v>
      </c>
      <c r="Y22" t="s">
        <v>749</v>
      </c>
    </row>
    <row r="23" spans="1:25">
      <c r="A23" t="s">
        <v>36</v>
      </c>
      <c r="D23" t="s">
        <v>399</v>
      </c>
      <c r="I23" t="s">
        <v>599</v>
      </c>
      <c r="K23" t="s">
        <v>264</v>
      </c>
      <c r="N23" t="s">
        <v>736</v>
      </c>
      <c r="P23" t="s">
        <v>737</v>
      </c>
      <c r="U23" t="s">
        <v>667</v>
      </c>
      <c r="V23" t="s">
        <v>331</v>
      </c>
      <c r="W23" t="s">
        <v>331</v>
      </c>
      <c r="Y23" t="s">
        <v>750</v>
      </c>
    </row>
    <row r="24" spans="1:25">
      <c r="A24" t="s">
        <v>12</v>
      </c>
      <c r="D24" t="s">
        <v>399</v>
      </c>
      <c r="I24" t="s">
        <v>602</v>
      </c>
      <c r="K24" t="s">
        <v>75</v>
      </c>
      <c r="N24" t="s">
        <v>738</v>
      </c>
      <c r="P24" t="s">
        <v>739</v>
      </c>
      <c r="U24" t="s">
        <v>668</v>
      </c>
      <c r="V24" t="s">
        <v>331</v>
      </c>
      <c r="W24" t="s">
        <v>331</v>
      </c>
      <c r="Y24" t="s">
        <v>751</v>
      </c>
    </row>
    <row r="25" spans="1:25">
      <c r="A25" t="s">
        <v>36</v>
      </c>
      <c r="D25" t="s">
        <v>400</v>
      </c>
      <c r="I25" t="s">
        <v>599</v>
      </c>
      <c r="K25" t="s">
        <v>264</v>
      </c>
      <c r="N25" t="s">
        <v>740</v>
      </c>
      <c r="P25" t="s">
        <v>741</v>
      </c>
      <c r="U25" t="s">
        <v>669</v>
      </c>
      <c r="V25" t="s">
        <v>331</v>
      </c>
      <c r="W25" t="s">
        <v>331</v>
      </c>
      <c r="Y25" t="s">
        <v>752</v>
      </c>
    </row>
    <row r="26" spans="1:25">
      <c r="A26" t="s">
        <v>12</v>
      </c>
      <c r="D26" t="s">
        <v>400</v>
      </c>
      <c r="I26" t="s">
        <v>602</v>
      </c>
      <c r="K26" t="s">
        <v>75</v>
      </c>
      <c r="N26" t="s">
        <v>742</v>
      </c>
      <c r="P26" t="s">
        <v>743</v>
      </c>
      <c r="U26" t="s">
        <v>670</v>
      </c>
      <c r="V26" t="s">
        <v>331</v>
      </c>
      <c r="W26" t="s">
        <v>331</v>
      </c>
      <c r="Y26" t="s">
        <v>753</v>
      </c>
    </row>
    <row r="27" spans="1:25">
      <c r="A27" t="s">
        <v>36</v>
      </c>
      <c r="D27" t="s">
        <v>322</v>
      </c>
      <c r="I27" t="s">
        <v>599</v>
      </c>
      <c r="K27" t="s">
        <v>264</v>
      </c>
      <c r="N27" t="s">
        <v>633</v>
      </c>
      <c r="P27" t="s">
        <v>634</v>
      </c>
      <c r="U27" t="s">
        <v>671</v>
      </c>
      <c r="V27" t="s">
        <v>331</v>
      </c>
      <c r="W27" t="s">
        <v>331</v>
      </c>
      <c r="Y27" t="s">
        <v>754</v>
      </c>
    </row>
    <row r="28" spans="1:25">
      <c r="A28" t="s">
        <v>12</v>
      </c>
      <c r="D28" t="s">
        <v>322</v>
      </c>
      <c r="I28" t="s">
        <v>602</v>
      </c>
      <c r="K28" t="s">
        <v>75</v>
      </c>
      <c r="N28" t="s">
        <v>635</v>
      </c>
      <c r="P28" t="s">
        <v>636</v>
      </c>
      <c r="U28" t="s">
        <v>672</v>
      </c>
      <c r="V28" t="s">
        <v>331</v>
      </c>
      <c r="W28" t="s">
        <v>331</v>
      </c>
      <c r="Y28" t="s">
        <v>755</v>
      </c>
    </row>
    <row r="29" spans="1:25">
      <c r="A29" t="s">
        <v>230</v>
      </c>
      <c r="U29" t="s">
        <v>673</v>
      </c>
      <c r="V29" t="s">
        <v>331</v>
      </c>
      <c r="W29" t="s">
        <v>331</v>
      </c>
      <c r="Y29" t="s">
        <v>756</v>
      </c>
    </row>
    <row r="30" spans="1:25">
      <c r="A30" t="s">
        <v>36</v>
      </c>
      <c r="D30" t="s">
        <v>637</v>
      </c>
      <c r="I30" t="s">
        <v>638</v>
      </c>
      <c r="K30" t="s">
        <v>264</v>
      </c>
      <c r="N30" t="s">
        <v>639</v>
      </c>
      <c r="P30" t="s">
        <v>640</v>
      </c>
      <c r="U30" t="s">
        <v>674</v>
      </c>
      <c r="V30" t="s">
        <v>331</v>
      </c>
      <c r="W30" t="s">
        <v>331</v>
      </c>
    </row>
    <row r="31" spans="1:25">
      <c r="A31" t="s">
        <v>36</v>
      </c>
      <c r="D31" t="s">
        <v>641</v>
      </c>
      <c r="I31" t="s">
        <v>638</v>
      </c>
      <c r="K31" t="s">
        <v>264</v>
      </c>
      <c r="N31" t="s">
        <v>642</v>
      </c>
      <c r="P31" t="s">
        <v>643</v>
      </c>
      <c r="U31" t="s">
        <v>675</v>
      </c>
      <c r="V31" t="s">
        <v>331</v>
      </c>
      <c r="W31" t="s">
        <v>331</v>
      </c>
      <c r="Y31" t="s">
        <v>714</v>
      </c>
    </row>
    <row r="32" spans="1:25">
      <c r="A32" t="s">
        <v>36</v>
      </c>
      <c r="D32" t="s">
        <v>644</v>
      </c>
      <c r="I32" t="s">
        <v>638</v>
      </c>
      <c r="K32" t="s">
        <v>264</v>
      </c>
      <c r="N32" t="s">
        <v>645</v>
      </c>
      <c r="P32" t="s">
        <v>646</v>
      </c>
      <c r="U32" t="s">
        <v>676</v>
      </c>
      <c r="V32" t="s">
        <v>331</v>
      </c>
      <c r="W32" t="s">
        <v>331</v>
      </c>
      <c r="Y32" t="s">
        <v>715</v>
      </c>
    </row>
    <row r="33" spans="21:25">
      <c r="U33" t="s">
        <v>677</v>
      </c>
      <c r="V33" t="s">
        <v>331</v>
      </c>
      <c r="W33" t="s">
        <v>331</v>
      </c>
      <c r="Y33" t="s">
        <v>716</v>
      </c>
    </row>
    <row r="34" spans="21:25">
      <c r="U34" t="s">
        <v>678</v>
      </c>
      <c r="V34" t="s">
        <v>334</v>
      </c>
      <c r="W34" t="s">
        <v>334</v>
      </c>
      <c r="Y34" t="s">
        <v>717</v>
      </c>
    </row>
    <row r="35" spans="21:25">
      <c r="U35" t="s">
        <v>679</v>
      </c>
      <c r="V35" t="s">
        <v>336</v>
      </c>
      <c r="W35" t="s">
        <v>336</v>
      </c>
      <c r="Y35" t="s">
        <v>718</v>
      </c>
    </row>
    <row r="36" spans="21:25">
      <c r="U36" t="s">
        <v>680</v>
      </c>
      <c r="V36" t="s">
        <v>340</v>
      </c>
      <c r="W36" t="s">
        <v>340</v>
      </c>
      <c r="Y36" t="s">
        <v>719</v>
      </c>
    </row>
    <row r="37" spans="21:25">
      <c r="U37" t="s">
        <v>681</v>
      </c>
      <c r="V37" t="s">
        <v>342</v>
      </c>
      <c r="W37" t="s">
        <v>342</v>
      </c>
      <c r="Y37" t="s">
        <v>720</v>
      </c>
    </row>
    <row r="38" spans="21:25">
      <c r="U38" t="s">
        <v>682</v>
      </c>
      <c r="V38" t="s">
        <v>334</v>
      </c>
      <c r="W38" t="s">
        <v>334</v>
      </c>
      <c r="Y38" t="s">
        <v>721</v>
      </c>
    </row>
    <row r="39" spans="21:25">
      <c r="U39" t="s">
        <v>683</v>
      </c>
      <c r="V39" t="s">
        <v>336</v>
      </c>
      <c r="W39" t="s">
        <v>336</v>
      </c>
      <c r="Y39" t="s">
        <v>722</v>
      </c>
    </row>
    <row r="40" spans="21:25">
      <c r="U40" t="s">
        <v>684</v>
      </c>
      <c r="V40" t="s">
        <v>340</v>
      </c>
      <c r="W40" t="s">
        <v>340</v>
      </c>
    </row>
    <row r="41" spans="21:25">
      <c r="U41" t="s">
        <v>685</v>
      </c>
      <c r="V41" t="s">
        <v>342</v>
      </c>
      <c r="W41" t="s">
        <v>342</v>
      </c>
      <c r="Y41" t="s">
        <v>723</v>
      </c>
    </row>
    <row r="42" spans="21:25">
      <c r="U42" t="s">
        <v>686</v>
      </c>
      <c r="V42" t="s">
        <v>334</v>
      </c>
      <c r="W42" t="s">
        <v>334</v>
      </c>
      <c r="Y42" t="s">
        <v>724</v>
      </c>
    </row>
    <row r="43" spans="21:25">
      <c r="U43" t="s">
        <v>687</v>
      </c>
      <c r="V43" t="s">
        <v>336</v>
      </c>
      <c r="W43" t="s">
        <v>336</v>
      </c>
    </row>
    <row r="44" spans="21:25">
      <c r="U44" t="s">
        <v>688</v>
      </c>
      <c r="V44" t="s">
        <v>340</v>
      </c>
      <c r="W44" t="s">
        <v>340</v>
      </c>
    </row>
    <row r="45" spans="21:25">
      <c r="U45" t="s">
        <v>689</v>
      </c>
      <c r="V45" t="s">
        <v>342</v>
      </c>
      <c r="W45" t="s">
        <v>342</v>
      </c>
    </row>
    <row r="46" spans="21:25">
      <c r="U46" t="s">
        <v>690</v>
      </c>
      <c r="V46" t="s">
        <v>691</v>
      </c>
      <c r="W46" t="s">
        <v>691</v>
      </c>
    </row>
    <row r="47" spans="21:25">
      <c r="U47" t="s">
        <v>692</v>
      </c>
      <c r="V47" t="s">
        <v>693</v>
      </c>
      <c r="W47" t="s">
        <v>693</v>
      </c>
    </row>
    <row r="48" spans="21:25">
      <c r="U48" t="s">
        <v>694</v>
      </c>
      <c r="V48" t="s">
        <v>695</v>
      </c>
      <c r="W48" t="s">
        <v>695</v>
      </c>
    </row>
    <row r="49" spans="21:23">
      <c r="U49" t="s">
        <v>696</v>
      </c>
      <c r="V49" t="s">
        <v>697</v>
      </c>
      <c r="W49" t="s">
        <v>697</v>
      </c>
    </row>
    <row r="50" spans="21:23">
      <c r="U50" t="s">
        <v>698</v>
      </c>
      <c r="V50" t="s">
        <v>699</v>
      </c>
      <c r="W50" t="s">
        <v>699</v>
      </c>
    </row>
    <row r="51" spans="21:23">
      <c r="U51" t="s">
        <v>700</v>
      </c>
      <c r="V51" t="s">
        <v>701</v>
      </c>
      <c r="W51" t="s">
        <v>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A3DF-7981-49EA-9093-56B2DB71DE84}">
  <dimension ref="A1:AC89"/>
  <sheetViews>
    <sheetView workbookViewId="0"/>
  </sheetViews>
  <sheetFormatPr defaultRowHeight="14.25"/>
  <cols>
    <col min="1" max="1" width="27.73046875" bestFit="1" customWidth="1"/>
    <col min="2" max="2" width="9.6640625" bestFit="1" customWidth="1"/>
    <col min="3" max="3" width="44.59765625" customWidth="1"/>
    <col min="4" max="4" width="24.6640625" bestFit="1" customWidth="1"/>
    <col min="5" max="5" width="7.59765625" bestFit="1" customWidth="1"/>
    <col min="6" max="6" width="6.9296875" bestFit="1" customWidth="1"/>
    <col min="7" max="7" width="7.6640625" bestFit="1" customWidth="1"/>
    <col min="8" max="8" width="7.86328125" bestFit="1" customWidth="1"/>
    <col min="9" max="9" width="44.59765625" customWidth="1"/>
    <col min="10" max="10" width="7.59765625" bestFit="1" customWidth="1"/>
    <col min="11" max="13" width="5.59765625" customWidth="1"/>
    <col min="14" max="14" width="44.59765625" customWidth="1"/>
    <col min="15" max="15" width="5.59765625" customWidth="1"/>
    <col min="16" max="16" width="44.59765625" customWidth="1"/>
    <col min="17" max="17" width="8.265625" bestFit="1" customWidth="1"/>
    <col min="18" max="18" width="5.73046875" bestFit="1" customWidth="1"/>
    <col min="19" max="19" width="11" bestFit="1" customWidth="1"/>
    <col min="21" max="21" width="11.9296875" bestFit="1" customWidth="1"/>
    <col min="22" max="23" width="24.53125" bestFit="1" customWidth="1"/>
    <col min="25" max="25" width="17.796875" bestFit="1" customWidth="1"/>
    <col min="26" max="27" width="20.33203125" bestFit="1" customWidth="1"/>
    <col min="29" max="29" width="44.59765625" customWidth="1"/>
  </cols>
  <sheetData>
    <row r="1" spans="1:29">
      <c r="A1" t="s">
        <v>758</v>
      </c>
      <c r="U1" t="s">
        <v>38</v>
      </c>
      <c r="Y1" t="s">
        <v>34</v>
      </c>
    </row>
    <row r="2" spans="1:29">
      <c r="A2" t="s">
        <v>21</v>
      </c>
      <c r="B2" t="s">
        <v>32</v>
      </c>
      <c r="C2" t="s">
        <v>22</v>
      </c>
      <c r="D2" t="s">
        <v>23</v>
      </c>
      <c r="E2" t="s">
        <v>27</v>
      </c>
      <c r="F2" t="s">
        <v>28</v>
      </c>
      <c r="G2" t="s">
        <v>29</v>
      </c>
      <c r="H2" t="s">
        <v>24</v>
      </c>
      <c r="I2" t="s">
        <v>25</v>
      </c>
      <c r="J2" t="s">
        <v>26</v>
      </c>
      <c r="K2" t="s">
        <v>0</v>
      </c>
      <c r="L2" t="s">
        <v>14</v>
      </c>
      <c r="M2" t="s">
        <v>33</v>
      </c>
      <c r="N2" t="s">
        <v>2</v>
      </c>
      <c r="O2" t="s">
        <v>1</v>
      </c>
      <c r="P2" t="s">
        <v>19</v>
      </c>
      <c r="Q2" t="s">
        <v>106</v>
      </c>
      <c r="R2" t="s">
        <v>258</v>
      </c>
      <c r="S2" t="s">
        <v>259</v>
      </c>
      <c r="U2" t="s">
        <v>39</v>
      </c>
      <c r="V2" t="s">
        <v>1</v>
      </c>
      <c r="W2" t="s">
        <v>19</v>
      </c>
      <c r="Y2" t="s">
        <v>35</v>
      </c>
      <c r="Z2" t="s">
        <v>1</v>
      </c>
      <c r="AA2" t="s">
        <v>19</v>
      </c>
      <c r="AC2" t="s">
        <v>878</v>
      </c>
    </row>
    <row r="3" spans="1:29">
      <c r="A3" t="s">
        <v>36</v>
      </c>
      <c r="C3" t="s">
        <v>759</v>
      </c>
      <c r="F3" t="s">
        <v>760</v>
      </c>
      <c r="I3" t="s">
        <v>761</v>
      </c>
      <c r="K3" t="s">
        <v>264</v>
      </c>
      <c r="N3" t="s">
        <v>762</v>
      </c>
      <c r="P3" t="s">
        <v>763</v>
      </c>
      <c r="U3" t="s">
        <v>760</v>
      </c>
      <c r="V3" t="s">
        <v>100</v>
      </c>
      <c r="W3" t="s">
        <v>100</v>
      </c>
      <c r="Y3" t="s">
        <v>828</v>
      </c>
      <c r="Z3" t="s">
        <v>340</v>
      </c>
      <c r="AA3" t="s">
        <v>340</v>
      </c>
    </row>
    <row r="4" spans="1:29">
      <c r="A4" t="s">
        <v>36</v>
      </c>
      <c r="C4" t="s">
        <v>759</v>
      </c>
      <c r="F4" t="s">
        <v>764</v>
      </c>
      <c r="I4" t="s">
        <v>761</v>
      </c>
      <c r="K4" t="s">
        <v>264</v>
      </c>
      <c r="N4" t="s">
        <v>765</v>
      </c>
      <c r="P4" t="s">
        <v>766</v>
      </c>
      <c r="U4" t="s">
        <v>858</v>
      </c>
      <c r="V4" t="s">
        <v>100</v>
      </c>
      <c r="W4" t="s">
        <v>100</v>
      </c>
      <c r="Y4" t="s">
        <v>831</v>
      </c>
      <c r="Z4" t="s">
        <v>340</v>
      </c>
      <c r="AA4" t="s">
        <v>340</v>
      </c>
      <c r="AC4" t="s">
        <v>879</v>
      </c>
    </row>
    <row r="5" spans="1:29">
      <c r="A5" t="s">
        <v>36</v>
      </c>
      <c r="D5" t="s">
        <v>767</v>
      </c>
      <c r="I5" t="s">
        <v>761</v>
      </c>
      <c r="K5" t="s">
        <v>264</v>
      </c>
      <c r="N5" t="s">
        <v>610</v>
      </c>
      <c r="P5" t="s">
        <v>768</v>
      </c>
      <c r="U5" t="s">
        <v>764</v>
      </c>
      <c r="V5" t="s">
        <v>520</v>
      </c>
      <c r="W5" t="s">
        <v>520</v>
      </c>
      <c r="Y5" t="s">
        <v>834</v>
      </c>
      <c r="Z5" t="s">
        <v>346</v>
      </c>
      <c r="AA5" t="s">
        <v>346</v>
      </c>
      <c r="AC5" t="s">
        <v>880</v>
      </c>
    </row>
    <row r="6" spans="1:29">
      <c r="A6" t="s">
        <v>36</v>
      </c>
      <c r="D6" t="s">
        <v>769</v>
      </c>
      <c r="I6" t="s">
        <v>761</v>
      </c>
      <c r="K6" t="s">
        <v>264</v>
      </c>
      <c r="N6" t="s">
        <v>615</v>
      </c>
      <c r="P6" t="s">
        <v>770</v>
      </c>
      <c r="U6" t="s">
        <v>859</v>
      </c>
      <c r="V6" t="s">
        <v>6</v>
      </c>
      <c r="W6" t="s">
        <v>6</v>
      </c>
      <c r="Y6" t="s">
        <v>837</v>
      </c>
      <c r="Z6" t="s">
        <v>346</v>
      </c>
      <c r="AA6" t="s">
        <v>346</v>
      </c>
    </row>
    <row r="7" spans="1:29">
      <c r="A7" t="s">
        <v>36</v>
      </c>
      <c r="D7" t="s">
        <v>771</v>
      </c>
      <c r="I7" t="s">
        <v>761</v>
      </c>
      <c r="K7" t="s">
        <v>264</v>
      </c>
      <c r="N7" t="s">
        <v>620</v>
      </c>
      <c r="P7" t="s">
        <v>772</v>
      </c>
      <c r="U7" t="s">
        <v>860</v>
      </c>
      <c r="V7" t="s">
        <v>527</v>
      </c>
      <c r="W7" t="s">
        <v>527</v>
      </c>
      <c r="Y7" t="s">
        <v>840</v>
      </c>
      <c r="Z7" t="s">
        <v>354</v>
      </c>
      <c r="AA7" t="s">
        <v>354</v>
      </c>
      <c r="AC7" t="s">
        <v>881</v>
      </c>
    </row>
    <row r="8" spans="1:29">
      <c r="A8" t="s">
        <v>36</v>
      </c>
      <c r="D8" t="s">
        <v>773</v>
      </c>
      <c r="I8" t="s">
        <v>761</v>
      </c>
      <c r="K8" t="s">
        <v>264</v>
      </c>
      <c r="N8" t="s">
        <v>774</v>
      </c>
      <c r="P8" t="s">
        <v>775</v>
      </c>
      <c r="U8" t="s">
        <v>861</v>
      </c>
      <c r="V8" t="s">
        <v>446</v>
      </c>
      <c r="W8" t="s">
        <v>446</v>
      </c>
      <c r="Y8" t="s">
        <v>843</v>
      </c>
      <c r="Z8" t="s">
        <v>354</v>
      </c>
      <c r="AA8" t="s">
        <v>354</v>
      </c>
      <c r="AC8" t="s">
        <v>882</v>
      </c>
    </row>
    <row r="9" spans="1:29">
      <c r="A9" t="s">
        <v>36</v>
      </c>
      <c r="D9" t="s">
        <v>776</v>
      </c>
      <c r="I9" t="s">
        <v>761</v>
      </c>
      <c r="K9" t="s">
        <v>264</v>
      </c>
      <c r="N9" t="s">
        <v>777</v>
      </c>
      <c r="P9" t="s">
        <v>778</v>
      </c>
      <c r="U9" t="s">
        <v>862</v>
      </c>
      <c r="V9" t="s">
        <v>443</v>
      </c>
      <c r="W9" t="s">
        <v>443</v>
      </c>
      <c r="Y9" t="s">
        <v>371</v>
      </c>
      <c r="Z9" t="s">
        <v>370</v>
      </c>
      <c r="AA9" t="s">
        <v>370</v>
      </c>
      <c r="AC9" t="s">
        <v>883</v>
      </c>
    </row>
    <row r="10" spans="1:29">
      <c r="A10" t="s">
        <v>36</v>
      </c>
      <c r="D10" t="s">
        <v>779</v>
      </c>
      <c r="I10" t="s">
        <v>761</v>
      </c>
      <c r="K10" t="s">
        <v>264</v>
      </c>
      <c r="N10" t="s">
        <v>780</v>
      </c>
      <c r="P10" t="s">
        <v>781</v>
      </c>
      <c r="U10" t="s">
        <v>863</v>
      </c>
      <c r="V10" t="s">
        <v>542</v>
      </c>
      <c r="W10" t="s">
        <v>542</v>
      </c>
      <c r="Y10" t="s">
        <v>369</v>
      </c>
      <c r="Z10" t="s">
        <v>368</v>
      </c>
      <c r="AA10" t="s">
        <v>368</v>
      </c>
      <c r="AC10" t="s">
        <v>884</v>
      </c>
    </row>
    <row r="11" spans="1:29">
      <c r="A11" t="s">
        <v>36</v>
      </c>
      <c r="D11" t="s">
        <v>782</v>
      </c>
      <c r="I11" t="s">
        <v>761</v>
      </c>
      <c r="K11" t="s">
        <v>264</v>
      </c>
      <c r="N11" t="s">
        <v>783</v>
      </c>
      <c r="P11" t="s">
        <v>784</v>
      </c>
      <c r="U11" t="s">
        <v>864</v>
      </c>
      <c r="V11" t="s">
        <v>396</v>
      </c>
      <c r="W11" t="s">
        <v>396</v>
      </c>
      <c r="AC11" t="s">
        <v>885</v>
      </c>
    </row>
    <row r="12" spans="1:29">
      <c r="A12" t="s">
        <v>36</v>
      </c>
      <c r="D12" t="s">
        <v>785</v>
      </c>
      <c r="I12" t="s">
        <v>761</v>
      </c>
      <c r="K12" t="s">
        <v>264</v>
      </c>
      <c r="N12" t="s">
        <v>732</v>
      </c>
      <c r="P12" t="s">
        <v>786</v>
      </c>
      <c r="U12" t="s">
        <v>865</v>
      </c>
      <c r="V12" t="s">
        <v>398</v>
      </c>
      <c r="W12" t="s">
        <v>398</v>
      </c>
      <c r="AC12" t="s">
        <v>886</v>
      </c>
    </row>
    <row r="13" spans="1:29">
      <c r="A13" t="s">
        <v>36</v>
      </c>
      <c r="D13" t="s">
        <v>787</v>
      </c>
      <c r="I13" t="s">
        <v>761</v>
      </c>
      <c r="K13" t="s">
        <v>264</v>
      </c>
      <c r="N13" t="s">
        <v>788</v>
      </c>
      <c r="P13" t="s">
        <v>789</v>
      </c>
      <c r="U13" t="s">
        <v>866</v>
      </c>
      <c r="V13" t="s">
        <v>538</v>
      </c>
      <c r="W13" t="s">
        <v>538</v>
      </c>
      <c r="AC13" t="s">
        <v>887</v>
      </c>
    </row>
    <row r="14" spans="1:29">
      <c r="A14" t="s">
        <v>36</v>
      </c>
      <c r="D14" t="s">
        <v>790</v>
      </c>
      <c r="I14" t="s">
        <v>761</v>
      </c>
      <c r="K14" t="s">
        <v>264</v>
      </c>
      <c r="N14" t="s">
        <v>791</v>
      </c>
      <c r="P14" t="s">
        <v>792</v>
      </c>
      <c r="U14" t="s">
        <v>867</v>
      </c>
      <c r="V14" t="s">
        <v>538</v>
      </c>
      <c r="W14" t="s">
        <v>538</v>
      </c>
      <c r="AC14" t="s">
        <v>888</v>
      </c>
    </row>
    <row r="15" spans="1:29">
      <c r="A15" t="s">
        <v>36</v>
      </c>
      <c r="D15" t="s">
        <v>793</v>
      </c>
      <c r="I15" t="s">
        <v>761</v>
      </c>
      <c r="K15" t="s">
        <v>264</v>
      </c>
      <c r="N15" t="s">
        <v>794</v>
      </c>
      <c r="P15" t="s">
        <v>795</v>
      </c>
      <c r="U15" t="s">
        <v>868</v>
      </c>
      <c r="V15" t="s">
        <v>331</v>
      </c>
      <c r="W15" t="s">
        <v>331</v>
      </c>
      <c r="AC15" t="s">
        <v>889</v>
      </c>
    </row>
    <row r="16" spans="1:29">
      <c r="A16" t="s">
        <v>36</v>
      </c>
      <c r="D16" t="s">
        <v>796</v>
      </c>
      <c r="I16" t="s">
        <v>761</v>
      </c>
      <c r="K16" t="s">
        <v>264</v>
      </c>
      <c r="N16" t="s">
        <v>797</v>
      </c>
      <c r="P16" t="s">
        <v>798</v>
      </c>
      <c r="U16" t="s">
        <v>869</v>
      </c>
      <c r="V16" t="s">
        <v>331</v>
      </c>
      <c r="W16" t="s">
        <v>331</v>
      </c>
      <c r="AC16" t="s">
        <v>890</v>
      </c>
    </row>
    <row r="17" spans="1:29">
      <c r="A17" t="s">
        <v>36</v>
      </c>
      <c r="C17" t="s">
        <v>799</v>
      </c>
      <c r="I17" t="s">
        <v>761</v>
      </c>
      <c r="K17" t="s">
        <v>264</v>
      </c>
      <c r="N17" t="s">
        <v>307</v>
      </c>
      <c r="P17" t="s">
        <v>800</v>
      </c>
      <c r="U17" t="s">
        <v>870</v>
      </c>
      <c r="V17" t="s">
        <v>334</v>
      </c>
      <c r="W17" t="s">
        <v>334</v>
      </c>
      <c r="AC17" t="s">
        <v>891</v>
      </c>
    </row>
    <row r="18" spans="1:29">
      <c r="A18" t="s">
        <v>230</v>
      </c>
      <c r="U18" t="s">
        <v>871</v>
      </c>
      <c r="V18" t="s">
        <v>334</v>
      </c>
      <c r="W18" t="s">
        <v>334</v>
      </c>
      <c r="AC18" t="s">
        <v>892</v>
      </c>
    </row>
    <row r="19" spans="1:29">
      <c r="A19" t="s">
        <v>12</v>
      </c>
      <c r="C19" t="s">
        <v>759</v>
      </c>
      <c r="F19" t="s">
        <v>760</v>
      </c>
      <c r="I19" t="s">
        <v>801</v>
      </c>
      <c r="K19" t="s">
        <v>75</v>
      </c>
      <c r="N19" t="s">
        <v>802</v>
      </c>
      <c r="P19" t="s">
        <v>803</v>
      </c>
      <c r="U19" t="s">
        <v>872</v>
      </c>
      <c r="V19" t="s">
        <v>336</v>
      </c>
      <c r="W19" t="s">
        <v>336</v>
      </c>
      <c r="AC19" t="s">
        <v>893</v>
      </c>
    </row>
    <row r="20" spans="1:29">
      <c r="A20" t="s">
        <v>12</v>
      </c>
      <c r="C20" t="s">
        <v>759</v>
      </c>
      <c r="F20" t="s">
        <v>764</v>
      </c>
      <c r="I20" t="s">
        <v>801</v>
      </c>
      <c r="K20" t="s">
        <v>75</v>
      </c>
      <c r="N20" t="s">
        <v>804</v>
      </c>
      <c r="P20" t="s">
        <v>805</v>
      </c>
      <c r="U20" t="s">
        <v>873</v>
      </c>
      <c r="V20" t="s">
        <v>336</v>
      </c>
      <c r="W20" t="s">
        <v>336</v>
      </c>
      <c r="AC20" t="s">
        <v>894</v>
      </c>
    </row>
    <row r="21" spans="1:29">
      <c r="A21" t="s">
        <v>12</v>
      </c>
      <c r="D21" t="s">
        <v>767</v>
      </c>
      <c r="I21" t="s">
        <v>801</v>
      </c>
      <c r="K21" t="s">
        <v>75</v>
      </c>
      <c r="N21" t="s">
        <v>612</v>
      </c>
      <c r="P21" t="s">
        <v>613</v>
      </c>
      <c r="U21" t="s">
        <v>874</v>
      </c>
      <c r="V21" t="s">
        <v>344</v>
      </c>
      <c r="W21" t="s">
        <v>344</v>
      </c>
      <c r="AC21" t="s">
        <v>895</v>
      </c>
    </row>
    <row r="22" spans="1:29">
      <c r="A22" t="s">
        <v>12</v>
      </c>
      <c r="D22" t="s">
        <v>769</v>
      </c>
      <c r="I22" t="s">
        <v>801</v>
      </c>
      <c r="K22" t="s">
        <v>75</v>
      </c>
      <c r="N22" t="s">
        <v>617</v>
      </c>
      <c r="P22" t="s">
        <v>618</v>
      </c>
      <c r="U22" t="s">
        <v>875</v>
      </c>
      <c r="V22" t="s">
        <v>344</v>
      </c>
      <c r="W22" t="s">
        <v>344</v>
      </c>
      <c r="AC22" t="s">
        <v>896</v>
      </c>
    </row>
    <row r="23" spans="1:29">
      <c r="A23" t="s">
        <v>12</v>
      </c>
      <c r="D23" t="s">
        <v>771</v>
      </c>
      <c r="I23" t="s">
        <v>801</v>
      </c>
      <c r="K23" t="s">
        <v>75</v>
      </c>
      <c r="N23" t="s">
        <v>622</v>
      </c>
      <c r="P23" t="s">
        <v>623</v>
      </c>
      <c r="U23" t="s">
        <v>848</v>
      </c>
      <c r="V23" t="s">
        <v>876</v>
      </c>
      <c r="W23" t="s">
        <v>876</v>
      </c>
      <c r="AC23" t="s">
        <v>897</v>
      </c>
    </row>
    <row r="24" spans="1:29">
      <c r="A24" t="s">
        <v>12</v>
      </c>
      <c r="D24" t="s">
        <v>773</v>
      </c>
      <c r="I24" t="s">
        <v>801</v>
      </c>
      <c r="K24" t="s">
        <v>75</v>
      </c>
      <c r="N24" t="s">
        <v>806</v>
      </c>
      <c r="P24" t="s">
        <v>807</v>
      </c>
      <c r="U24" t="s">
        <v>877</v>
      </c>
      <c r="V24" t="s">
        <v>876</v>
      </c>
      <c r="W24" t="s">
        <v>876</v>
      </c>
      <c r="AC24" t="s">
        <v>898</v>
      </c>
    </row>
    <row r="25" spans="1:29">
      <c r="A25" t="s">
        <v>12</v>
      </c>
      <c r="D25" t="s">
        <v>776</v>
      </c>
      <c r="I25" t="s">
        <v>801</v>
      </c>
      <c r="K25" t="s">
        <v>75</v>
      </c>
      <c r="N25" t="s">
        <v>808</v>
      </c>
      <c r="P25" t="s">
        <v>809</v>
      </c>
      <c r="AC25" t="s">
        <v>899</v>
      </c>
    </row>
    <row r="26" spans="1:29">
      <c r="A26" t="s">
        <v>12</v>
      </c>
      <c r="D26" t="s">
        <v>779</v>
      </c>
      <c r="I26" t="s">
        <v>801</v>
      </c>
      <c r="K26" t="s">
        <v>75</v>
      </c>
      <c r="N26" t="s">
        <v>810</v>
      </c>
      <c r="P26" t="s">
        <v>811</v>
      </c>
    </row>
    <row r="27" spans="1:29">
      <c r="A27" t="s">
        <v>12</v>
      </c>
      <c r="D27" t="s">
        <v>782</v>
      </c>
      <c r="I27" t="s">
        <v>801</v>
      </c>
      <c r="K27" t="s">
        <v>75</v>
      </c>
      <c r="N27" t="s">
        <v>812</v>
      </c>
      <c r="P27" t="s">
        <v>813</v>
      </c>
      <c r="AC27" t="s">
        <v>900</v>
      </c>
    </row>
    <row r="28" spans="1:29">
      <c r="A28" t="s">
        <v>12</v>
      </c>
      <c r="D28" t="s">
        <v>785</v>
      </c>
      <c r="I28" t="s">
        <v>801</v>
      </c>
      <c r="K28" t="s">
        <v>75</v>
      </c>
      <c r="N28" t="s">
        <v>734</v>
      </c>
      <c r="P28" t="s">
        <v>735</v>
      </c>
      <c r="AC28" t="s">
        <v>901</v>
      </c>
    </row>
    <row r="29" spans="1:29">
      <c r="A29" t="s">
        <v>12</v>
      </c>
      <c r="D29" t="s">
        <v>787</v>
      </c>
      <c r="I29" t="s">
        <v>801</v>
      </c>
      <c r="K29" t="s">
        <v>75</v>
      </c>
      <c r="N29" t="s">
        <v>814</v>
      </c>
      <c r="P29" t="s">
        <v>815</v>
      </c>
      <c r="AC29" t="s">
        <v>902</v>
      </c>
    </row>
    <row r="30" spans="1:29">
      <c r="A30" t="s">
        <v>12</v>
      </c>
      <c r="D30" t="s">
        <v>790</v>
      </c>
      <c r="I30" t="s">
        <v>801</v>
      </c>
      <c r="K30" t="s">
        <v>75</v>
      </c>
      <c r="N30" t="s">
        <v>816</v>
      </c>
      <c r="P30" t="s">
        <v>817</v>
      </c>
      <c r="AC30" t="s">
        <v>903</v>
      </c>
    </row>
    <row r="31" spans="1:29">
      <c r="A31" t="s">
        <v>12</v>
      </c>
      <c r="D31" t="s">
        <v>793</v>
      </c>
      <c r="I31" t="s">
        <v>801</v>
      </c>
      <c r="K31" t="s">
        <v>75</v>
      </c>
      <c r="N31" t="s">
        <v>818</v>
      </c>
      <c r="P31" t="s">
        <v>819</v>
      </c>
      <c r="AC31" t="s">
        <v>904</v>
      </c>
    </row>
    <row r="32" spans="1:29">
      <c r="A32" t="s">
        <v>12</v>
      </c>
      <c r="D32" t="s">
        <v>796</v>
      </c>
      <c r="I32" t="s">
        <v>801</v>
      </c>
      <c r="K32" t="s">
        <v>75</v>
      </c>
      <c r="N32" t="s">
        <v>820</v>
      </c>
      <c r="P32" t="s">
        <v>821</v>
      </c>
      <c r="AC32" t="s">
        <v>905</v>
      </c>
    </row>
    <row r="33" spans="1:29">
      <c r="A33" t="s">
        <v>230</v>
      </c>
      <c r="AC33" t="s">
        <v>906</v>
      </c>
    </row>
    <row r="34" spans="1:29">
      <c r="A34" t="s">
        <v>36</v>
      </c>
      <c r="D34" t="s">
        <v>822</v>
      </c>
      <c r="I34" t="s">
        <v>801</v>
      </c>
      <c r="K34" t="s">
        <v>264</v>
      </c>
      <c r="N34" t="s">
        <v>823</v>
      </c>
      <c r="P34" t="s">
        <v>824</v>
      </c>
      <c r="AC34" t="s">
        <v>907</v>
      </c>
    </row>
    <row r="35" spans="1:29">
      <c r="A35" t="s">
        <v>36</v>
      </c>
      <c r="D35" t="s">
        <v>825</v>
      </c>
      <c r="I35" t="s">
        <v>801</v>
      </c>
      <c r="K35" t="s">
        <v>264</v>
      </c>
      <c r="N35" t="s">
        <v>826</v>
      </c>
      <c r="P35" t="s">
        <v>827</v>
      </c>
      <c r="AC35" t="s">
        <v>908</v>
      </c>
    </row>
    <row r="36" spans="1:29">
      <c r="A36" t="s">
        <v>36</v>
      </c>
      <c r="C36" t="s">
        <v>828</v>
      </c>
      <c r="I36" t="s">
        <v>761</v>
      </c>
      <c r="K36" t="s">
        <v>264</v>
      </c>
      <c r="N36" t="s">
        <v>829</v>
      </c>
      <c r="P36" t="s">
        <v>830</v>
      </c>
      <c r="AC36" t="s">
        <v>909</v>
      </c>
    </row>
    <row r="37" spans="1:29">
      <c r="A37" t="s">
        <v>36</v>
      </c>
      <c r="C37" t="s">
        <v>831</v>
      </c>
      <c r="I37" t="s">
        <v>761</v>
      </c>
      <c r="K37" t="s">
        <v>264</v>
      </c>
      <c r="N37" t="s">
        <v>832</v>
      </c>
      <c r="P37" t="s">
        <v>833</v>
      </c>
    </row>
    <row r="38" spans="1:29">
      <c r="A38" t="s">
        <v>36</v>
      </c>
      <c r="C38" t="s">
        <v>834</v>
      </c>
      <c r="I38" t="s">
        <v>761</v>
      </c>
      <c r="K38" t="s">
        <v>264</v>
      </c>
      <c r="N38" t="s">
        <v>835</v>
      </c>
      <c r="P38" t="s">
        <v>836</v>
      </c>
      <c r="AC38" t="s">
        <v>910</v>
      </c>
    </row>
    <row r="39" spans="1:29">
      <c r="A39" t="s">
        <v>36</v>
      </c>
      <c r="C39" t="s">
        <v>837</v>
      </c>
      <c r="I39" t="s">
        <v>761</v>
      </c>
      <c r="K39" t="s">
        <v>264</v>
      </c>
      <c r="N39" t="s">
        <v>838</v>
      </c>
      <c r="P39" t="s">
        <v>839</v>
      </c>
      <c r="AC39" t="s">
        <v>911</v>
      </c>
    </row>
    <row r="40" spans="1:29">
      <c r="A40" t="s">
        <v>36</v>
      </c>
      <c r="C40" t="s">
        <v>840</v>
      </c>
      <c r="I40" t="s">
        <v>761</v>
      </c>
      <c r="K40" t="s">
        <v>264</v>
      </c>
      <c r="N40" t="s">
        <v>841</v>
      </c>
      <c r="P40" t="s">
        <v>842</v>
      </c>
      <c r="AC40" t="s">
        <v>912</v>
      </c>
    </row>
    <row r="41" spans="1:29">
      <c r="A41" t="s">
        <v>36</v>
      </c>
      <c r="C41" t="s">
        <v>843</v>
      </c>
      <c r="I41" t="s">
        <v>761</v>
      </c>
      <c r="K41" t="s">
        <v>264</v>
      </c>
      <c r="N41" t="s">
        <v>844</v>
      </c>
      <c r="P41" t="s">
        <v>845</v>
      </c>
      <c r="AC41" t="s">
        <v>913</v>
      </c>
    </row>
    <row r="42" spans="1:29">
      <c r="A42" t="s">
        <v>36</v>
      </c>
      <c r="C42" t="s">
        <v>371</v>
      </c>
      <c r="I42" t="s">
        <v>761</v>
      </c>
      <c r="K42" t="s">
        <v>264</v>
      </c>
      <c r="N42" t="s">
        <v>846</v>
      </c>
      <c r="P42" t="s">
        <v>847</v>
      </c>
      <c r="AC42" t="s">
        <v>914</v>
      </c>
    </row>
    <row r="43" spans="1:29">
      <c r="A43" t="s">
        <v>230</v>
      </c>
      <c r="AC43" t="s">
        <v>915</v>
      </c>
    </row>
    <row r="44" spans="1:29">
      <c r="A44" t="s">
        <v>12</v>
      </c>
      <c r="C44" t="s">
        <v>369</v>
      </c>
      <c r="I44" t="s">
        <v>848</v>
      </c>
      <c r="K44" t="s">
        <v>75</v>
      </c>
      <c r="N44" t="s">
        <v>849</v>
      </c>
      <c r="P44" t="s">
        <v>850</v>
      </c>
      <c r="AC44" t="s">
        <v>916</v>
      </c>
    </row>
    <row r="45" spans="1:29">
      <c r="A45" t="s">
        <v>36</v>
      </c>
      <c r="C45" t="s">
        <v>851</v>
      </c>
      <c r="I45" t="s">
        <v>852</v>
      </c>
      <c r="K45" t="s">
        <v>264</v>
      </c>
      <c r="N45" t="s">
        <v>853</v>
      </c>
      <c r="P45" t="s">
        <v>854</v>
      </c>
      <c r="AC45" t="s">
        <v>917</v>
      </c>
    </row>
    <row r="46" spans="1:29">
      <c r="A46" t="s">
        <v>12</v>
      </c>
      <c r="C46" t="s">
        <v>851</v>
      </c>
      <c r="I46" t="s">
        <v>855</v>
      </c>
      <c r="K46" t="s">
        <v>75</v>
      </c>
      <c r="N46" t="s">
        <v>856</v>
      </c>
      <c r="P46" t="s">
        <v>857</v>
      </c>
      <c r="AC46" t="s">
        <v>918</v>
      </c>
    </row>
    <row r="47" spans="1:29">
      <c r="AC47" t="s">
        <v>919</v>
      </c>
    </row>
    <row r="48" spans="1:29">
      <c r="AC48" t="s">
        <v>920</v>
      </c>
    </row>
    <row r="49" spans="29:29">
      <c r="AC49" t="s">
        <v>921</v>
      </c>
    </row>
    <row r="50" spans="29:29">
      <c r="AC50" t="s">
        <v>922</v>
      </c>
    </row>
    <row r="51" spans="29:29">
      <c r="AC51" t="s">
        <v>923</v>
      </c>
    </row>
    <row r="52" spans="29:29">
      <c r="AC52" t="s">
        <v>924</v>
      </c>
    </row>
    <row r="53" spans="29:29">
      <c r="AC53" t="s">
        <v>925</v>
      </c>
    </row>
    <row r="55" spans="29:29">
      <c r="AC55" t="s">
        <v>926</v>
      </c>
    </row>
    <row r="56" spans="29:29">
      <c r="AC56" t="s">
        <v>927</v>
      </c>
    </row>
    <row r="57" spans="29:29">
      <c r="AC57" t="s">
        <v>928</v>
      </c>
    </row>
    <row r="58" spans="29:29">
      <c r="AC58" t="s">
        <v>929</v>
      </c>
    </row>
    <row r="59" spans="29:29">
      <c r="AC59" t="s">
        <v>930</v>
      </c>
    </row>
    <row r="60" spans="29:29">
      <c r="AC60" t="s">
        <v>931</v>
      </c>
    </row>
    <row r="61" spans="29:29">
      <c r="AC61" t="s">
        <v>932</v>
      </c>
    </row>
    <row r="62" spans="29:29">
      <c r="AC62" t="s">
        <v>933</v>
      </c>
    </row>
    <row r="63" spans="29:29">
      <c r="AC63" t="s">
        <v>934</v>
      </c>
    </row>
    <row r="64" spans="29:29">
      <c r="AC64" t="s">
        <v>935</v>
      </c>
    </row>
    <row r="65" spans="29:29">
      <c r="AC65" t="s">
        <v>936</v>
      </c>
    </row>
    <row r="66" spans="29:29">
      <c r="AC66" t="s">
        <v>937</v>
      </c>
    </row>
    <row r="67" spans="29:29">
      <c r="AC67" t="s">
        <v>938</v>
      </c>
    </row>
    <row r="68" spans="29:29">
      <c r="AC68" t="s">
        <v>939</v>
      </c>
    </row>
    <row r="69" spans="29:29">
      <c r="AC69" t="s">
        <v>940</v>
      </c>
    </row>
    <row r="70" spans="29:29">
      <c r="AC70" t="s">
        <v>941</v>
      </c>
    </row>
    <row r="71" spans="29:29">
      <c r="AC71" t="s">
        <v>942</v>
      </c>
    </row>
    <row r="73" spans="29:29">
      <c r="AC73" t="s">
        <v>943</v>
      </c>
    </row>
    <row r="74" spans="29:29">
      <c r="AC74" t="s">
        <v>944</v>
      </c>
    </row>
    <row r="75" spans="29:29">
      <c r="AC75" t="s">
        <v>945</v>
      </c>
    </row>
    <row r="76" spans="29:29">
      <c r="AC76" t="s">
        <v>946</v>
      </c>
    </row>
    <row r="77" spans="29:29">
      <c r="AC77" t="s">
        <v>947</v>
      </c>
    </row>
    <row r="78" spans="29:29">
      <c r="AC78" t="s">
        <v>948</v>
      </c>
    </row>
    <row r="79" spans="29:29">
      <c r="AC79" t="s">
        <v>949</v>
      </c>
    </row>
    <row r="80" spans="29:29">
      <c r="AC80" t="s">
        <v>950</v>
      </c>
    </row>
    <row r="81" spans="29:29">
      <c r="AC81" t="s">
        <v>951</v>
      </c>
    </row>
    <row r="82" spans="29:29">
      <c r="AC82" t="s">
        <v>952</v>
      </c>
    </row>
    <row r="83" spans="29:29">
      <c r="AC83" t="s">
        <v>953</v>
      </c>
    </row>
    <row r="84" spans="29:29">
      <c r="AC84" t="s">
        <v>954</v>
      </c>
    </row>
    <row r="85" spans="29:29">
      <c r="AC85" t="s">
        <v>955</v>
      </c>
    </row>
    <row r="87" spans="29:29">
      <c r="AC87" t="s">
        <v>956</v>
      </c>
    </row>
    <row r="89" spans="29:29">
      <c r="AC89" t="s">
        <v>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13"/>
  <sheetViews>
    <sheetView workbookViewId="0">
      <selection activeCell="A5" sqref="A5"/>
    </sheetView>
  </sheetViews>
  <sheetFormatPr defaultColWidth="9.1328125" defaultRowHeight="14.25"/>
  <cols>
    <col min="1" max="1" width="24.265625" bestFit="1" customWidth="1"/>
    <col min="2" max="2" width="23.265625" bestFit="1" customWidth="1"/>
    <col min="3" max="3" width="37.1328125" bestFit="1" customWidth="1"/>
    <col min="6" max="6" width="11" bestFit="1" customWidth="1"/>
  </cols>
  <sheetData>
    <row r="1" spans="1:6">
      <c r="A1" s="1" t="s">
        <v>34</v>
      </c>
    </row>
    <row r="2" spans="1:6">
      <c r="A2" t="s">
        <v>35</v>
      </c>
      <c r="B2" t="s">
        <v>1</v>
      </c>
      <c r="C2" t="s">
        <v>19</v>
      </c>
    </row>
    <row r="3" spans="1:6">
      <c r="A3" t="s">
        <v>284</v>
      </c>
      <c r="B3" t="s">
        <v>295</v>
      </c>
      <c r="C3" t="str">
        <f t="shared" ref="C3:C9" si="0">B3</f>
        <v>heavy goods truck</v>
      </c>
      <c r="F3" s="3" t="str">
        <f>A3</f>
        <v>DMD_TRA-F-HTRUCK</v>
      </c>
    </row>
    <row r="4" spans="1:6">
      <c r="A4" t="s">
        <v>285</v>
      </c>
      <c r="B4" t="s">
        <v>296</v>
      </c>
      <c r="C4" t="str">
        <f t="shared" si="0"/>
        <v>light goods truck</v>
      </c>
      <c r="F4" s="3" t="str">
        <f t="shared" ref="F4:F13" si="1">F3&amp;","&amp;A4</f>
        <v>DMD_TRA-F-HTRUCK,DMD_TRA-F-LTRUCK</v>
      </c>
    </row>
    <row r="5" spans="1:6">
      <c r="A5" t="s">
        <v>286</v>
      </c>
      <c r="B5" t="s">
        <v>297</v>
      </c>
      <c r="C5" t="str">
        <f t="shared" si="0"/>
        <v>medium goods truck</v>
      </c>
      <c r="F5" s="3" t="str">
        <f t="shared" si="1"/>
        <v>DMD_TRA-F-HTRUCK,DMD_TRA-F-LTRUCK,DMD_TRA-F-MTRUCK</v>
      </c>
    </row>
    <row r="6" spans="1:6">
      <c r="A6" t="s">
        <v>287</v>
      </c>
      <c r="B6" t="s">
        <v>298</v>
      </c>
      <c r="C6" t="str">
        <f t="shared" si="0"/>
        <v>train</v>
      </c>
      <c r="F6" s="3" t="str">
        <f t="shared" si="1"/>
        <v>DMD_TRA-F-HTRUCK,DMD_TRA-F-LTRUCK,DMD_TRA-F-MTRUCK,DMD_TRA-F-TRAIN</v>
      </c>
    </row>
    <row r="7" spans="1:6">
      <c r="A7" t="s">
        <v>288</v>
      </c>
      <c r="B7" t="s">
        <v>299</v>
      </c>
      <c r="C7" t="str">
        <f t="shared" si="0"/>
        <v>active modes</v>
      </c>
      <c r="F7" s="3" t="str">
        <f t="shared" si="1"/>
        <v>DMD_TRA-F-HTRUCK,DMD_TRA-F-LTRUCK,DMD_TRA-F-MTRUCK,DMD_TRA-F-TRAIN,DMD_TRA-P-ACTIVE</v>
      </c>
    </row>
    <row r="8" spans="1:6">
      <c r="A8" t="s">
        <v>289</v>
      </c>
      <c r="B8" t="s">
        <v>151</v>
      </c>
      <c r="C8" t="str">
        <f t="shared" si="0"/>
        <v>bus</v>
      </c>
      <c r="F8" s="3" t="str">
        <f t="shared" si="1"/>
        <v>DMD_TRA-F-HTRUCK,DMD_TRA-F-LTRUCK,DMD_TRA-F-MTRUCK,DMD_TRA-F-TRAIN,DMD_TRA-P-ACTIVE,DMD_TRA-P-BUS</v>
      </c>
    </row>
    <row r="9" spans="1:6">
      <c r="A9" t="s">
        <v>290</v>
      </c>
      <c r="B9" t="s">
        <v>300</v>
      </c>
      <c r="C9" t="str">
        <f t="shared" si="0"/>
        <v>private car</v>
      </c>
      <c r="F9" s="3" t="str">
        <f t="shared" si="1"/>
        <v>DMD_TRA-F-HTRUCK,DMD_TRA-F-LTRUCK,DMD_TRA-F-MTRUCK,DMD_TRA-F-TRAIN,DMD_TRA-P-ACTIVE,DMD_TRA-P-BUS,DMD_TRA-P-CAR</v>
      </c>
    </row>
    <row r="10" spans="1:6">
      <c r="A10" t="s">
        <v>291</v>
      </c>
      <c r="B10" t="s">
        <v>301</v>
      </c>
      <c r="F10" s="3" t="str">
        <f t="shared" si="1"/>
        <v>DMD_TRA-F-HTRUCK,DMD_TRA-F-LTRUCK,DMD_TRA-F-MTRUCK,DMD_TRA-F-TRAIN,DMD_TRA-P-ACTIVE,DMD_TRA-P-BUS,DMD_TRA-P-CAR,DMD_TRA-P-HPT</v>
      </c>
    </row>
    <row r="11" spans="1:6">
      <c r="A11" t="s">
        <v>292</v>
      </c>
      <c r="B11" t="s">
        <v>302</v>
      </c>
      <c r="F11" s="3" t="str">
        <f t="shared" si="1"/>
        <v>DMD_TRA-F-HTRUCK,DMD_TRA-F-LTRUCK,DMD_TRA-F-MTRUCK,DMD_TRA-F-TRAIN,DMD_TRA-P-ACTIVE,DMD_TRA-P-BUS,DMD_TRA-P-CAR,DMD_TRA-P-HPT,DMD_TRA-P-LPT</v>
      </c>
    </row>
    <row r="12" spans="1:6">
      <c r="A12" t="s">
        <v>293</v>
      </c>
      <c r="B12" t="s">
        <v>303</v>
      </c>
      <c r="F12" s="3" t="str">
        <f t="shared" si="1"/>
        <v>DMD_TRA-F-HTRUCK,DMD_TRA-F-LTRUCK,DMD_TRA-F-MTRUCK,DMD_TRA-F-TRAIN,DMD_TRA-P-ACTIVE,DMD_TRA-P-BUS,DMD_TRA-P-CAR,DMD_TRA-P-HPT,DMD_TRA-P-LPT,DMD_TRA-P-MOT</v>
      </c>
    </row>
    <row r="13" spans="1:6">
      <c r="A13" t="s">
        <v>294</v>
      </c>
      <c r="B13" t="s">
        <v>184</v>
      </c>
      <c r="F13" s="3" t="str">
        <f t="shared" si="1"/>
        <v>DMD_TRA-F-HTRUCK,DMD_TRA-F-LTRUCK,DMD_TRA-F-MTRUCK,DMD_TRA-F-TRAIN,DMD_TRA-P-ACTIVE,DMD_TRA-P-BUS,DMD_TRA-P-CAR,DMD_TRA-P-HPT,DMD_TRA-P-LPT,DMD_TRA-P-MOT,DMD_TRA-P-TAXI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F11"/>
  <sheetViews>
    <sheetView workbookViewId="0">
      <pane ySplit="2" topLeftCell="A3" activePane="bottomLeft" state="frozen"/>
      <selection pane="bottomLeft" activeCell="F6" sqref="F6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6">
      <c r="A1" s="1" t="s">
        <v>38</v>
      </c>
    </row>
    <row r="2" spans="1:6">
      <c r="A2" t="s">
        <v>39</v>
      </c>
      <c r="B2" t="s">
        <v>1</v>
      </c>
      <c r="C2" t="s">
        <v>19</v>
      </c>
    </row>
    <row r="3" spans="1:6">
      <c r="A3" t="s">
        <v>266</v>
      </c>
      <c r="B3" t="s">
        <v>275</v>
      </c>
      <c r="F3" s="3" t="str">
        <f>A3</f>
        <v>TRAPS</v>
      </c>
    </row>
    <row r="4" spans="1:6">
      <c r="A4" t="s">
        <v>267</v>
      </c>
      <c r="B4" t="s">
        <v>276</v>
      </c>
      <c r="F4" s="3" t="str">
        <f>F3&amp;","&amp;A4</f>
        <v>TRAPS,TRAPM</v>
      </c>
    </row>
    <row r="5" spans="1:6">
      <c r="A5" t="s">
        <v>268</v>
      </c>
      <c r="B5" t="s">
        <v>277</v>
      </c>
      <c r="F5" s="3" t="str">
        <f t="shared" ref="F5:F11" si="0">F4&amp;","&amp;A5</f>
        <v>TRAPS,TRAPM,TRAPL</v>
      </c>
    </row>
    <row r="6" spans="1:6">
      <c r="A6" t="s">
        <v>269</v>
      </c>
      <c r="B6" t="s">
        <v>278</v>
      </c>
      <c r="F6" s="3" t="str">
        <f t="shared" si="0"/>
        <v>TRAPS,TRAPM,TRAPL,TRAF</v>
      </c>
    </row>
    <row r="7" spans="1:6">
      <c r="A7" t="s">
        <v>270</v>
      </c>
      <c r="B7" t="s">
        <v>279</v>
      </c>
      <c r="F7" s="3" t="str">
        <f>A7</f>
        <v>TTURS</v>
      </c>
    </row>
    <row r="8" spans="1:6">
      <c r="A8" t="s">
        <v>271</v>
      </c>
      <c r="B8" t="s">
        <v>280</v>
      </c>
      <c r="F8" s="3" t="str">
        <f t="shared" si="0"/>
        <v>TTURS,TNAV</v>
      </c>
    </row>
    <row r="9" spans="1:6">
      <c r="A9" t="s">
        <v>272</v>
      </c>
      <c r="B9" t="s">
        <v>281</v>
      </c>
      <c r="F9" s="3" t="str">
        <f t="shared" si="0"/>
        <v>TTURS,TNAV,TOTH</v>
      </c>
    </row>
    <row r="10" spans="1:6">
      <c r="A10" t="s">
        <v>273</v>
      </c>
      <c r="B10" t="s">
        <v>282</v>
      </c>
      <c r="F10" s="3" t="str">
        <f t="shared" si="0"/>
        <v>TTURS,TNAV,TOTH,TAVIDOM</v>
      </c>
    </row>
    <row r="11" spans="1:6">
      <c r="A11" t="s">
        <v>274</v>
      </c>
      <c r="B11" t="s">
        <v>283</v>
      </c>
      <c r="F11" s="3" t="str">
        <f t="shared" si="0"/>
        <v>TTURS,TNAV,TOTH,TAVIDOM,TAVIINT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2"/>
  <sheetViews>
    <sheetView workbookViewId="0"/>
  </sheetViews>
  <sheetFormatPr defaultRowHeight="14.25"/>
  <cols>
    <col min="1" max="1" width="11.59765625" bestFit="1" customWidth="1"/>
    <col min="2" max="2" width="34" bestFit="1" customWidth="1"/>
    <col min="3" max="3" width="11.59765625" bestFit="1" customWidth="1"/>
  </cols>
  <sheetData>
    <row r="1" spans="1:3">
      <c r="A1" t="s">
        <v>96</v>
      </c>
    </row>
    <row r="2" spans="1:3">
      <c r="A2" t="s">
        <v>97</v>
      </c>
      <c r="B2" t="s">
        <v>98</v>
      </c>
      <c r="C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:J50"/>
  <sheetViews>
    <sheetView zoomScaleNormal="100" workbookViewId="0"/>
  </sheetViews>
  <sheetFormatPr defaultRowHeight="14.25"/>
  <cols>
    <col min="1" max="1" width="13.73046875" bestFit="1" customWidth="1"/>
    <col min="2" max="2" width="9.86328125" bestFit="1" customWidth="1"/>
    <col min="3" max="3" width="18.3984375" bestFit="1" customWidth="1"/>
    <col min="9" max="9" width="6.1328125" bestFit="1" customWidth="1"/>
    <col min="10" max="10" width="15.265625" bestFit="1" customWidth="1"/>
  </cols>
  <sheetData>
    <row r="1" spans="1:10">
      <c r="A1" t="s">
        <v>143</v>
      </c>
    </row>
    <row r="2" spans="1:10">
      <c r="A2" t="s">
        <v>97</v>
      </c>
      <c r="B2" t="s">
        <v>98</v>
      </c>
      <c r="C2" t="s">
        <v>99</v>
      </c>
      <c r="D2" t="s">
        <v>236</v>
      </c>
      <c r="I2" t="s">
        <v>144</v>
      </c>
    </row>
    <row r="3" spans="1:10">
      <c r="A3" t="s">
        <v>190</v>
      </c>
      <c r="B3" t="str">
        <f>"T-"&amp;I3&amp;"*"</f>
        <v>T-AVI*</v>
      </c>
      <c r="C3" t="str">
        <f>J3</f>
        <v>aviation</v>
      </c>
      <c r="I3" t="s">
        <v>146</v>
      </c>
      <c r="J3" t="s">
        <v>147</v>
      </c>
    </row>
    <row r="4" spans="1:10">
      <c r="A4" t="s">
        <v>190</v>
      </c>
      <c r="B4" t="str">
        <f t="shared" ref="B4:B18" si="0">"T-"&amp;I4&amp;"*"</f>
        <v>T-BUS*</v>
      </c>
      <c r="C4" t="str">
        <f t="shared" ref="C4:C18" si="1">J4</f>
        <v>bus</v>
      </c>
      <c r="I4" t="s">
        <v>150</v>
      </c>
      <c r="J4" t="s">
        <v>151</v>
      </c>
    </row>
    <row r="5" spans="1:10">
      <c r="A5" t="s">
        <v>190</v>
      </c>
      <c r="B5" t="str">
        <f t="shared" si="0"/>
        <v>T-CAR*</v>
      </c>
      <c r="C5" t="str">
        <f t="shared" si="1"/>
        <v>car</v>
      </c>
      <c r="I5" t="s">
        <v>154</v>
      </c>
      <c r="J5" t="s">
        <v>155</v>
      </c>
    </row>
    <row r="6" spans="1:10">
      <c r="A6" t="s">
        <v>190</v>
      </c>
      <c r="B6" t="str">
        <f t="shared" si="0"/>
        <v>T-CYC*</v>
      </c>
      <c r="C6" t="str">
        <f t="shared" si="1"/>
        <v>cycle</v>
      </c>
      <c r="I6" t="s">
        <v>157</v>
      </c>
      <c r="J6" t="s">
        <v>158</v>
      </c>
    </row>
    <row r="7" spans="1:10">
      <c r="A7" t="s">
        <v>190</v>
      </c>
      <c r="B7" t="str">
        <f t="shared" si="0"/>
        <v>T-GTR*</v>
      </c>
      <c r="C7" t="str">
        <f t="shared" si="1"/>
        <v>goods train</v>
      </c>
      <c r="I7" t="s">
        <v>160</v>
      </c>
      <c r="J7" t="s">
        <v>161</v>
      </c>
    </row>
    <row r="8" spans="1:10">
      <c r="A8" t="s">
        <v>190</v>
      </c>
      <c r="B8" t="str">
        <f t="shared" si="0"/>
        <v>T-HGT*</v>
      </c>
      <c r="C8" t="str">
        <f t="shared" si="1"/>
        <v>heavy truck</v>
      </c>
      <c r="I8" t="s">
        <v>163</v>
      </c>
      <c r="J8" t="s">
        <v>164</v>
      </c>
    </row>
    <row r="9" spans="1:10">
      <c r="A9" t="s">
        <v>190</v>
      </c>
      <c r="B9" t="str">
        <f t="shared" si="0"/>
        <v>T-HPT*</v>
      </c>
      <c r="C9" t="str">
        <f t="shared" si="1"/>
        <v>heavy pass train</v>
      </c>
      <c r="I9" t="s">
        <v>166</v>
      </c>
      <c r="J9" t="s">
        <v>167</v>
      </c>
    </row>
    <row r="10" spans="1:10">
      <c r="A10" t="s">
        <v>190</v>
      </c>
      <c r="B10" t="str">
        <f t="shared" si="0"/>
        <v>T-LGT*</v>
      </c>
      <c r="C10" t="str">
        <f t="shared" si="1"/>
        <v>light truck</v>
      </c>
      <c r="I10" t="s">
        <v>169</v>
      </c>
      <c r="J10" t="s">
        <v>170</v>
      </c>
    </row>
    <row r="11" spans="1:10">
      <c r="A11" t="s">
        <v>190</v>
      </c>
      <c r="B11" t="str">
        <f t="shared" si="0"/>
        <v>T-LPT*</v>
      </c>
      <c r="C11" t="str">
        <f t="shared" si="1"/>
        <v>light pass train</v>
      </c>
      <c r="I11" t="s">
        <v>171</v>
      </c>
      <c r="J11" t="s">
        <v>172</v>
      </c>
    </row>
    <row r="12" spans="1:10">
      <c r="A12" t="s">
        <v>190</v>
      </c>
      <c r="B12" t="str">
        <f t="shared" si="0"/>
        <v>T-MGT*</v>
      </c>
      <c r="C12" t="str">
        <f t="shared" si="1"/>
        <v>med truck</v>
      </c>
      <c r="I12" t="s">
        <v>174</v>
      </c>
      <c r="J12" t="s">
        <v>175</v>
      </c>
    </row>
    <row r="13" spans="1:10">
      <c r="A13" t="s">
        <v>190</v>
      </c>
      <c r="B13" t="str">
        <f t="shared" si="0"/>
        <v>T-MOT*</v>
      </c>
      <c r="C13" t="str">
        <f t="shared" si="1"/>
        <v>moto</v>
      </c>
      <c r="I13" t="s">
        <v>177</v>
      </c>
      <c r="J13" t="s">
        <v>178</v>
      </c>
    </row>
    <row r="14" spans="1:10">
      <c r="A14" t="s">
        <v>190</v>
      </c>
      <c r="B14" t="str">
        <f t="shared" si="0"/>
        <v>T-NAV*</v>
      </c>
      <c r="C14" t="str">
        <f t="shared" si="1"/>
        <v>navigation</v>
      </c>
      <c r="I14" t="s">
        <v>180</v>
      </c>
      <c r="J14" t="s">
        <v>181</v>
      </c>
    </row>
    <row r="15" spans="1:10">
      <c r="A15" t="s">
        <v>190</v>
      </c>
      <c r="B15" t="str">
        <f t="shared" si="0"/>
        <v>T-TAX*</v>
      </c>
      <c r="C15" t="str">
        <f t="shared" si="1"/>
        <v>taxi</v>
      </c>
      <c r="I15" t="s">
        <v>183</v>
      </c>
      <c r="J15" t="s">
        <v>184</v>
      </c>
    </row>
    <row r="16" spans="1:10">
      <c r="A16" t="s">
        <v>190</v>
      </c>
      <c r="B16" t="str">
        <f t="shared" si="0"/>
        <v>T-TUR*</v>
      </c>
      <c r="C16" t="str">
        <f t="shared" si="1"/>
        <v>tourism</v>
      </c>
      <c r="I16" t="s">
        <v>185</v>
      </c>
      <c r="J16" t="s">
        <v>186</v>
      </c>
    </row>
    <row r="17" spans="1:10">
      <c r="A17" t="s">
        <v>190</v>
      </c>
      <c r="B17" t="str">
        <f t="shared" si="0"/>
        <v>T-OTH*</v>
      </c>
      <c r="C17" t="str">
        <f t="shared" si="1"/>
        <v>other</v>
      </c>
      <c r="I17" t="s">
        <v>187</v>
      </c>
      <c r="J17" t="s">
        <v>188</v>
      </c>
    </row>
    <row r="18" spans="1:10">
      <c r="A18" t="s">
        <v>190</v>
      </c>
      <c r="B18" t="str">
        <f t="shared" si="0"/>
        <v>T-WLK*</v>
      </c>
      <c r="C18" t="str">
        <f t="shared" si="1"/>
        <v>walk</v>
      </c>
      <c r="I18" t="s">
        <v>182</v>
      </c>
      <c r="J18" t="s">
        <v>189</v>
      </c>
    </row>
    <row r="19" spans="1:10">
      <c r="A19" t="s">
        <v>145</v>
      </c>
      <c r="B19" t="str">
        <f>"*"&amp;I19&amp;"*"</f>
        <v>*EV_*</v>
      </c>
      <c r="C19" t="str">
        <f>J19</f>
        <v>EV_</v>
      </c>
      <c r="I19" t="s">
        <v>173</v>
      </c>
      <c r="J19" t="s">
        <v>173</v>
      </c>
    </row>
    <row r="20" spans="1:10">
      <c r="A20" t="s">
        <v>145</v>
      </c>
      <c r="B20" t="str">
        <f>"*"&amp;I20&amp;"*"</f>
        <v>*DOM*</v>
      </c>
      <c r="C20" t="str">
        <f>J20</f>
        <v>domestic</v>
      </c>
      <c r="I20" t="s">
        <v>148</v>
      </c>
      <c r="J20" t="s">
        <v>149</v>
      </c>
    </row>
    <row r="21" spans="1:10">
      <c r="A21" t="s">
        <v>145</v>
      </c>
      <c r="B21" t="str">
        <f t="shared" ref="B21:B30" si="2">"*"&amp;I21&amp;"*"</f>
        <v>*INT*</v>
      </c>
      <c r="C21" t="str">
        <f t="shared" ref="C21:C30" si="3">J21</f>
        <v>international</v>
      </c>
      <c r="I21" t="s">
        <v>152</v>
      </c>
      <c r="J21" t="s">
        <v>153</v>
      </c>
    </row>
    <row r="22" spans="1:10">
      <c r="A22" t="s">
        <v>145</v>
      </c>
      <c r="B22" t="str">
        <f t="shared" si="2"/>
        <v>*BEV*</v>
      </c>
      <c r="C22" t="str">
        <f t="shared" si="3"/>
        <v>BEV</v>
      </c>
      <c r="I22" t="s">
        <v>156</v>
      </c>
      <c r="J22" t="s">
        <v>156</v>
      </c>
    </row>
    <row r="23" spans="1:10">
      <c r="A23" t="s">
        <v>145</v>
      </c>
      <c r="B23" t="str">
        <f t="shared" si="2"/>
        <v>*ICE*</v>
      </c>
      <c r="C23" t="str">
        <f t="shared" si="3"/>
        <v>ICE</v>
      </c>
      <c r="I23" t="s">
        <v>159</v>
      </c>
      <c r="J23" t="s">
        <v>159</v>
      </c>
    </row>
    <row r="24" spans="1:10">
      <c r="A24" t="s">
        <v>145</v>
      </c>
      <c r="B24" t="str">
        <f t="shared" si="2"/>
        <v>*FCV*</v>
      </c>
      <c r="C24" t="str">
        <f t="shared" si="3"/>
        <v>FCV</v>
      </c>
      <c r="I24" t="s">
        <v>162</v>
      </c>
      <c r="J24" t="s">
        <v>162</v>
      </c>
    </row>
    <row r="25" spans="1:10">
      <c r="A25" t="s">
        <v>145</v>
      </c>
      <c r="B25" t="str">
        <f t="shared" si="2"/>
        <v>*HEV*</v>
      </c>
      <c r="C25" t="str">
        <f t="shared" si="3"/>
        <v>HEV</v>
      </c>
      <c r="I25" t="s">
        <v>165</v>
      </c>
      <c r="J25" t="s">
        <v>165</v>
      </c>
    </row>
    <row r="26" spans="1:10">
      <c r="A26" t="s">
        <v>145</v>
      </c>
      <c r="B26" t="str">
        <f t="shared" si="2"/>
        <v>*PHE*</v>
      </c>
      <c r="C26" t="str">
        <f t="shared" si="3"/>
        <v>PHE</v>
      </c>
      <c r="I26" t="s">
        <v>168</v>
      </c>
      <c r="J26" t="s">
        <v>168</v>
      </c>
    </row>
    <row r="27" spans="1:10">
      <c r="A27" t="s">
        <v>145</v>
      </c>
      <c r="B27" t="str">
        <f t="shared" si="2"/>
        <v>*CYC*</v>
      </c>
      <c r="C27" t="str">
        <f t="shared" si="3"/>
        <v>CYC</v>
      </c>
      <c r="I27" t="s">
        <v>157</v>
      </c>
      <c r="J27" t="s">
        <v>157</v>
      </c>
    </row>
    <row r="28" spans="1:10">
      <c r="A28" t="s">
        <v>145</v>
      </c>
      <c r="B28" t="str">
        <f t="shared" si="2"/>
        <v>*NEW*</v>
      </c>
      <c r="C28" t="str">
        <f t="shared" si="3"/>
        <v>NEW</v>
      </c>
      <c r="I28" t="s">
        <v>176</v>
      </c>
      <c r="J28" t="s">
        <v>176</v>
      </c>
    </row>
    <row r="29" spans="1:10">
      <c r="A29" t="s">
        <v>145</v>
      </c>
      <c r="B29" t="str">
        <f t="shared" si="2"/>
        <v>*CON*</v>
      </c>
      <c r="C29" t="str">
        <f t="shared" si="3"/>
        <v>CON</v>
      </c>
      <c r="I29" t="s">
        <v>179</v>
      </c>
      <c r="J29" t="s">
        <v>179</v>
      </c>
    </row>
    <row r="30" spans="1:10">
      <c r="A30" t="s">
        <v>145</v>
      </c>
      <c r="B30" t="str">
        <f t="shared" si="2"/>
        <v>*WLK*</v>
      </c>
      <c r="C30" t="str">
        <f t="shared" si="3"/>
        <v>WLK</v>
      </c>
      <c r="I30" t="s">
        <v>182</v>
      </c>
      <c r="J30" t="s">
        <v>182</v>
      </c>
    </row>
    <row r="31" spans="1:10">
      <c r="A31" t="s">
        <v>145</v>
      </c>
      <c r="C31" t="s">
        <v>125</v>
      </c>
      <c r="D31" t="s">
        <v>108</v>
      </c>
    </row>
    <row r="32" spans="1:10">
      <c r="A32" t="s">
        <v>145</v>
      </c>
      <c r="C32" t="s">
        <v>126</v>
      </c>
      <c r="D32" t="s">
        <v>109</v>
      </c>
    </row>
    <row r="33" spans="1:4">
      <c r="A33" t="s">
        <v>145</v>
      </c>
      <c r="C33" t="s">
        <v>127</v>
      </c>
      <c r="D33" t="s">
        <v>110</v>
      </c>
    </row>
    <row r="34" spans="1:4">
      <c r="A34" t="s">
        <v>145</v>
      </c>
      <c r="C34" t="s">
        <v>128</v>
      </c>
      <c r="D34" t="s">
        <v>111</v>
      </c>
    </row>
    <row r="35" spans="1:4">
      <c r="A35" t="s">
        <v>145</v>
      </c>
      <c r="C35" t="s">
        <v>129</v>
      </c>
      <c r="D35" t="s">
        <v>112</v>
      </c>
    </row>
    <row r="36" spans="1:4">
      <c r="A36" t="s">
        <v>145</v>
      </c>
      <c r="C36" t="s">
        <v>130</v>
      </c>
      <c r="D36" t="s">
        <v>113</v>
      </c>
    </row>
    <row r="37" spans="1:4">
      <c r="A37" t="s">
        <v>145</v>
      </c>
      <c r="C37" t="s">
        <v>131</v>
      </c>
      <c r="D37" t="s">
        <v>114</v>
      </c>
    </row>
    <row r="38" spans="1:4">
      <c r="A38" t="s">
        <v>145</v>
      </c>
      <c r="C38" t="s">
        <v>132</v>
      </c>
      <c r="D38" t="s">
        <v>115</v>
      </c>
    </row>
    <row r="39" spans="1:4">
      <c r="A39" t="s">
        <v>145</v>
      </c>
      <c r="C39" t="s">
        <v>133</v>
      </c>
      <c r="D39" t="s">
        <v>116</v>
      </c>
    </row>
    <row r="40" spans="1:4">
      <c r="A40" t="s">
        <v>145</v>
      </c>
      <c r="C40" t="s">
        <v>134</v>
      </c>
      <c r="D40" t="s">
        <v>117</v>
      </c>
    </row>
    <row r="41" spans="1:4">
      <c r="A41" t="s">
        <v>145</v>
      </c>
      <c r="C41" t="s">
        <v>5</v>
      </c>
      <c r="D41" t="s">
        <v>118</v>
      </c>
    </row>
    <row r="42" spans="1:4">
      <c r="A42" t="s">
        <v>145</v>
      </c>
      <c r="C42" t="s">
        <v>135</v>
      </c>
      <c r="D42" t="s">
        <v>119</v>
      </c>
    </row>
    <row r="43" spans="1:4">
      <c r="A43" t="s">
        <v>145</v>
      </c>
      <c r="C43" t="s">
        <v>6</v>
      </c>
      <c r="D43" t="s">
        <v>120</v>
      </c>
    </row>
    <row r="44" spans="1:4">
      <c r="A44" t="s">
        <v>145</v>
      </c>
      <c r="C44" t="s">
        <v>7</v>
      </c>
      <c r="D44" t="s">
        <v>121</v>
      </c>
    </row>
    <row r="45" spans="1:4">
      <c r="A45" t="s">
        <v>145</v>
      </c>
      <c r="C45" t="s">
        <v>136</v>
      </c>
      <c r="D45" t="s">
        <v>122</v>
      </c>
    </row>
    <row r="46" spans="1:4">
      <c r="A46" t="s">
        <v>145</v>
      </c>
      <c r="C46" t="s">
        <v>137</v>
      </c>
      <c r="D46" t="s">
        <v>123</v>
      </c>
    </row>
    <row r="47" spans="1:4">
      <c r="A47" t="s">
        <v>145</v>
      </c>
      <c r="C47" t="s">
        <v>138</v>
      </c>
      <c r="D47" t="s">
        <v>124</v>
      </c>
    </row>
    <row r="48" spans="1:4">
      <c r="A48" t="s">
        <v>145</v>
      </c>
      <c r="C48" t="s">
        <v>240</v>
      </c>
      <c r="D48" t="s">
        <v>237</v>
      </c>
    </row>
    <row r="49" spans="1:4">
      <c r="A49" t="s">
        <v>145</v>
      </c>
      <c r="C49" t="s">
        <v>241</v>
      </c>
      <c r="D49" t="s">
        <v>238</v>
      </c>
    </row>
    <row r="50" spans="1:4">
      <c r="A50" t="s">
        <v>145</v>
      </c>
      <c r="C50" t="s">
        <v>242</v>
      </c>
      <c r="D50" t="s">
        <v>239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C23"/>
  <sheetViews>
    <sheetView zoomScaleNormal="100" workbookViewId="0">
      <pane ySplit="2" topLeftCell="A3" activePane="bottomLeft" state="frozen"/>
      <selection pane="bottomLeft" activeCell="C15" sqref="C15"/>
    </sheetView>
  </sheetViews>
  <sheetFormatPr defaultColWidth="9.1328125" defaultRowHeight="14.25"/>
  <cols>
    <col min="1" max="1" width="13.73046875" bestFit="1" customWidth="1"/>
    <col min="2" max="2" width="8.265625" bestFit="1" customWidth="1"/>
    <col min="3" max="3" width="11" bestFit="1" customWidth="1"/>
  </cols>
  <sheetData>
    <row r="1" spans="1:3">
      <c r="A1" t="s">
        <v>215</v>
      </c>
    </row>
    <row r="2" spans="1:3">
      <c r="A2" t="s">
        <v>97</v>
      </c>
      <c r="B2" t="s">
        <v>98</v>
      </c>
      <c r="C2" t="s">
        <v>99</v>
      </c>
    </row>
    <row r="3" spans="1:3">
      <c r="A3" t="s">
        <v>214</v>
      </c>
      <c r="B3" t="s">
        <v>203</v>
      </c>
      <c r="C3" t="s">
        <v>193</v>
      </c>
    </row>
    <row r="4" spans="1:3">
      <c r="A4" t="s">
        <v>214</v>
      </c>
      <c r="B4" t="s">
        <v>204</v>
      </c>
      <c r="C4" t="s">
        <v>194</v>
      </c>
    </row>
    <row r="5" spans="1:3">
      <c r="A5" t="s">
        <v>214</v>
      </c>
      <c r="B5" t="s">
        <v>205</v>
      </c>
      <c r="C5" t="s">
        <v>195</v>
      </c>
    </row>
    <row r="6" spans="1:3">
      <c r="A6" t="s">
        <v>214</v>
      </c>
      <c r="B6" t="s">
        <v>206</v>
      </c>
      <c r="C6" t="s">
        <v>196</v>
      </c>
    </row>
    <row r="7" spans="1:3">
      <c r="A7" t="s">
        <v>214</v>
      </c>
      <c r="B7" t="s">
        <v>207</v>
      </c>
      <c r="C7" t="s">
        <v>197</v>
      </c>
    </row>
    <row r="8" spans="1:3">
      <c r="A8" t="s">
        <v>214</v>
      </c>
      <c r="B8" t="s">
        <v>208</v>
      </c>
      <c r="C8" t="s">
        <v>100</v>
      </c>
    </row>
    <row r="9" spans="1:3">
      <c r="A9" t="s">
        <v>214</v>
      </c>
      <c r="B9" t="s">
        <v>209</v>
      </c>
      <c r="C9" t="s">
        <v>198</v>
      </c>
    </row>
    <row r="10" spans="1:3">
      <c r="A10" t="s">
        <v>214</v>
      </c>
      <c r="B10" t="s">
        <v>210</v>
      </c>
      <c r="C10" t="s">
        <v>199</v>
      </c>
    </row>
    <row r="11" spans="1:3">
      <c r="A11" t="s">
        <v>214</v>
      </c>
      <c r="B11" t="s">
        <v>211</v>
      </c>
      <c r="C11" t="s">
        <v>200</v>
      </c>
    </row>
    <row r="12" spans="1:3">
      <c r="A12" t="s">
        <v>214</v>
      </c>
      <c r="B12" t="s">
        <v>212</v>
      </c>
      <c r="C12" t="s">
        <v>201</v>
      </c>
    </row>
    <row r="13" spans="1:3">
      <c r="A13" t="s">
        <v>214</v>
      </c>
      <c r="B13" t="s">
        <v>213</v>
      </c>
      <c r="C13" t="s">
        <v>202</v>
      </c>
    </row>
    <row r="14" spans="1:3">
      <c r="A14" t="s">
        <v>101</v>
      </c>
      <c r="B14" t="s">
        <v>230</v>
      </c>
      <c r="C14" t="s">
        <v>265</v>
      </c>
    </row>
    <row r="15" spans="1:3">
      <c r="A15" t="s">
        <v>101</v>
      </c>
      <c r="B15" t="s">
        <v>221</v>
      </c>
      <c r="C15" t="s">
        <v>227</v>
      </c>
    </row>
    <row r="16" spans="1:3">
      <c r="A16" t="s">
        <v>101</v>
      </c>
      <c r="B16" t="s">
        <v>222</v>
      </c>
      <c r="C16" t="s">
        <v>228</v>
      </c>
    </row>
    <row r="17" spans="1:3">
      <c r="A17" t="s">
        <v>101</v>
      </c>
      <c r="B17" t="s">
        <v>223</v>
      </c>
      <c r="C17" t="s">
        <v>74</v>
      </c>
    </row>
    <row r="18" spans="1:3">
      <c r="A18" t="s">
        <v>101</v>
      </c>
      <c r="B18" t="s">
        <v>224</v>
      </c>
      <c r="C18" t="s">
        <v>3</v>
      </c>
    </row>
    <row r="19" spans="1:3">
      <c r="A19" t="s">
        <v>101</v>
      </c>
      <c r="B19" t="s">
        <v>225</v>
      </c>
      <c r="C19" t="s">
        <v>10</v>
      </c>
    </row>
    <row r="20" spans="1:3">
      <c r="A20" t="s">
        <v>101</v>
      </c>
      <c r="B20" t="s">
        <v>226</v>
      </c>
      <c r="C20" t="s">
        <v>4</v>
      </c>
    </row>
    <row r="21" spans="1:3">
      <c r="A21" t="s">
        <v>229</v>
      </c>
      <c r="B21" t="s">
        <v>230</v>
      </c>
      <c r="C21" t="s">
        <v>231</v>
      </c>
    </row>
    <row r="22" spans="1:3">
      <c r="A22" t="s">
        <v>229</v>
      </c>
      <c r="B22" t="s">
        <v>232</v>
      </c>
      <c r="C22" t="s">
        <v>233</v>
      </c>
    </row>
    <row r="23" spans="1:3">
      <c r="A23" t="s">
        <v>229</v>
      </c>
      <c r="B23" t="s">
        <v>234</v>
      </c>
      <c r="C23" t="s">
        <v>235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>
      <selection activeCell="A3" sqref="A3:G14"/>
    </sheetView>
  </sheetViews>
  <sheetFormatPr defaultRowHeight="14.25"/>
  <cols>
    <col min="4" max="4" width="10.86328125" bestFit="1" customWidth="1"/>
  </cols>
  <sheetData>
    <row r="1" spans="1:7">
      <c r="A1" t="s">
        <v>70</v>
      </c>
    </row>
    <row r="2" spans="1:7">
      <c r="A2" t="s">
        <v>43</v>
      </c>
      <c r="B2" t="s">
        <v>17</v>
      </c>
      <c r="C2" t="s">
        <v>71</v>
      </c>
      <c r="D2" t="s">
        <v>9</v>
      </c>
      <c r="E2" t="s">
        <v>0</v>
      </c>
      <c r="F2" t="s">
        <v>72</v>
      </c>
      <c r="G2" t="s">
        <v>73</v>
      </c>
    </row>
    <row r="3" spans="1:7">
      <c r="F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4"/>
  <sheetViews>
    <sheetView zoomScaleNormal="100" workbookViewId="0">
      <selection activeCell="D5" sqref="D5"/>
    </sheetView>
  </sheetViews>
  <sheetFormatPr defaultColWidth="9.1328125" defaultRowHeight="14.25"/>
  <cols>
    <col min="2" max="2" width="7.59765625" bestFit="1" customWidth="1"/>
    <col min="3" max="3" width="5.86328125" bestFit="1" customWidth="1"/>
    <col min="4" max="4" width="8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42</v>
      </c>
    </row>
    <row r="2" spans="1:4">
      <c r="A2" t="s">
        <v>43</v>
      </c>
      <c r="B2" s="1" t="s">
        <v>44</v>
      </c>
      <c r="C2" s="1" t="s">
        <v>45</v>
      </c>
      <c r="D2" s="1" t="s">
        <v>46</v>
      </c>
    </row>
    <row r="3" spans="1:4">
      <c r="A3" t="s">
        <v>141</v>
      </c>
      <c r="B3" t="s">
        <v>142</v>
      </c>
      <c r="C3" t="s">
        <v>16</v>
      </c>
      <c r="D3">
        <f>1/31.536</f>
        <v>3.1709791983764585E-2</v>
      </c>
    </row>
    <row r="4" spans="1:4">
      <c r="A4" t="s">
        <v>141</v>
      </c>
      <c r="B4" t="s">
        <v>264</v>
      </c>
      <c r="C4" t="s">
        <v>75</v>
      </c>
      <c r="D4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F88C-142D-4FED-9F24-F330B8E1D481}">
  <dimension ref="A1:I120"/>
  <sheetViews>
    <sheetView workbookViewId="0">
      <selection activeCell="A37" sqref="A37"/>
    </sheetView>
  </sheetViews>
  <sheetFormatPr defaultRowHeight="14.25"/>
  <cols>
    <col min="1" max="1" width="11.9296875" bestFit="1" customWidth="1"/>
    <col min="2" max="2" width="46.59765625" customWidth="1"/>
    <col min="3" max="3" width="26.86328125" bestFit="1" customWidth="1"/>
    <col min="4" max="4" width="46.59765625" customWidth="1"/>
    <col min="5" max="5" width="15.06640625" bestFit="1" customWidth="1"/>
    <col min="6" max="6" width="7.73046875" bestFit="1" customWidth="1"/>
    <col min="9" max="9" width="46.59765625" customWidth="1"/>
  </cols>
  <sheetData>
    <row r="1" spans="1:9">
      <c r="A1" t="s">
        <v>143</v>
      </c>
    </row>
    <row r="2" spans="1:9">
      <c r="A2" t="s">
        <v>97</v>
      </c>
      <c r="B2" t="s">
        <v>98</v>
      </c>
      <c r="C2" t="s">
        <v>99</v>
      </c>
      <c r="D2" t="s">
        <v>236</v>
      </c>
      <c r="E2" t="s">
        <v>309</v>
      </c>
      <c r="F2" t="s">
        <v>310</v>
      </c>
      <c r="I2" t="s">
        <v>498</v>
      </c>
    </row>
    <row r="3" spans="1:9">
      <c r="A3" t="s">
        <v>311</v>
      </c>
      <c r="C3" t="s">
        <v>312</v>
      </c>
      <c r="D3" t="s">
        <v>313</v>
      </c>
      <c r="I3" t="s">
        <v>499</v>
      </c>
    </row>
    <row r="4" spans="1:9">
      <c r="A4" t="s">
        <v>311</v>
      </c>
      <c r="C4" t="s">
        <v>228</v>
      </c>
      <c r="D4" t="s">
        <v>314</v>
      </c>
      <c r="I4" t="s">
        <v>500</v>
      </c>
    </row>
    <row r="5" spans="1:9">
      <c r="A5" t="s">
        <v>311</v>
      </c>
      <c r="C5" t="s">
        <v>3</v>
      </c>
      <c r="D5" t="s">
        <v>315</v>
      </c>
      <c r="I5" t="s">
        <v>501</v>
      </c>
    </row>
    <row r="6" spans="1:9">
      <c r="A6" t="s">
        <v>311</v>
      </c>
      <c r="C6" t="s">
        <v>74</v>
      </c>
      <c r="D6" t="s">
        <v>316</v>
      </c>
      <c r="I6" t="s">
        <v>502</v>
      </c>
    </row>
    <row r="7" spans="1:9">
      <c r="A7" t="s">
        <v>311</v>
      </c>
      <c r="C7" t="s">
        <v>10</v>
      </c>
      <c r="D7" t="s">
        <v>317</v>
      </c>
      <c r="I7" t="s">
        <v>503</v>
      </c>
    </row>
    <row r="8" spans="1:9">
      <c r="A8" t="s">
        <v>311</v>
      </c>
      <c r="C8" t="s">
        <v>318</v>
      </c>
      <c r="D8" t="s">
        <v>319</v>
      </c>
      <c r="I8" t="s">
        <v>504</v>
      </c>
    </row>
    <row r="9" spans="1:9">
      <c r="A9" t="s">
        <v>311</v>
      </c>
      <c r="C9" t="s">
        <v>4</v>
      </c>
      <c r="D9" t="s">
        <v>320</v>
      </c>
      <c r="I9" t="s">
        <v>505</v>
      </c>
    </row>
    <row r="10" spans="1:9">
      <c r="A10" t="s">
        <v>321</v>
      </c>
      <c r="B10" t="s">
        <v>322</v>
      </c>
      <c r="C10" t="s">
        <v>323</v>
      </c>
      <c r="I10" t="s">
        <v>506</v>
      </c>
    </row>
    <row r="11" spans="1:9">
      <c r="A11" t="s">
        <v>321</v>
      </c>
      <c r="B11" t="s">
        <v>324</v>
      </c>
      <c r="C11" t="s">
        <v>325</v>
      </c>
      <c r="I11" t="s">
        <v>507</v>
      </c>
    </row>
    <row r="12" spans="1:9">
      <c r="A12" t="s">
        <v>321</v>
      </c>
      <c r="B12" t="s">
        <v>326</v>
      </c>
      <c r="C12" t="s">
        <v>327</v>
      </c>
      <c r="I12" t="s">
        <v>508</v>
      </c>
    </row>
    <row r="13" spans="1:9">
      <c r="A13" t="s">
        <v>321</v>
      </c>
      <c r="B13" t="s">
        <v>328</v>
      </c>
      <c r="C13" t="s">
        <v>329</v>
      </c>
      <c r="I13" t="s">
        <v>509</v>
      </c>
    </row>
    <row r="14" spans="1:9">
      <c r="A14" t="s">
        <v>330</v>
      </c>
      <c r="C14" t="s">
        <v>331</v>
      </c>
      <c r="D14" t="s">
        <v>332</v>
      </c>
      <c r="F14" t="s">
        <v>333</v>
      </c>
      <c r="I14" t="s">
        <v>510</v>
      </c>
    </row>
    <row r="15" spans="1:9">
      <c r="A15" t="s">
        <v>330</v>
      </c>
      <c r="C15" t="s">
        <v>334</v>
      </c>
      <c r="D15" t="s">
        <v>332</v>
      </c>
      <c r="F15" t="s">
        <v>335</v>
      </c>
      <c r="I15" t="s">
        <v>511</v>
      </c>
    </row>
    <row r="16" spans="1:9">
      <c r="A16" t="s">
        <v>330</v>
      </c>
      <c r="C16" t="s">
        <v>336</v>
      </c>
      <c r="D16" t="s">
        <v>332</v>
      </c>
      <c r="F16" t="s">
        <v>337</v>
      </c>
      <c r="I16" t="s">
        <v>512</v>
      </c>
    </row>
    <row r="17" spans="1:9">
      <c r="A17" t="s">
        <v>330</v>
      </c>
      <c r="B17" t="s">
        <v>338</v>
      </c>
      <c r="C17" t="s">
        <v>339</v>
      </c>
      <c r="I17" t="s">
        <v>513</v>
      </c>
    </row>
    <row r="18" spans="1:9">
      <c r="A18" t="s">
        <v>330</v>
      </c>
      <c r="C18" t="s">
        <v>340</v>
      </c>
      <c r="D18" t="s">
        <v>341</v>
      </c>
      <c r="I18" t="s">
        <v>514</v>
      </c>
    </row>
    <row r="19" spans="1:9">
      <c r="A19" t="s">
        <v>330</v>
      </c>
      <c r="C19" t="s">
        <v>342</v>
      </c>
      <c r="D19" t="s">
        <v>343</v>
      </c>
      <c r="I19" t="s">
        <v>515</v>
      </c>
    </row>
    <row r="20" spans="1:9">
      <c r="A20" t="s">
        <v>330</v>
      </c>
      <c r="C20" t="s">
        <v>344</v>
      </c>
      <c r="D20" t="s">
        <v>345</v>
      </c>
      <c r="I20" t="s">
        <v>516</v>
      </c>
    </row>
    <row r="21" spans="1:9">
      <c r="A21" t="s">
        <v>330</v>
      </c>
      <c r="C21" t="s">
        <v>346</v>
      </c>
      <c r="D21" t="s">
        <v>347</v>
      </c>
    </row>
    <row r="22" spans="1:9">
      <c r="A22" t="s">
        <v>330</v>
      </c>
      <c r="C22" t="s">
        <v>348</v>
      </c>
      <c r="D22" t="s">
        <v>349</v>
      </c>
    </row>
    <row r="23" spans="1:9">
      <c r="A23" t="s">
        <v>330</v>
      </c>
      <c r="C23" t="s">
        <v>350</v>
      </c>
      <c r="D23" t="s">
        <v>351</v>
      </c>
    </row>
    <row r="24" spans="1:9">
      <c r="A24" t="s">
        <v>330</v>
      </c>
      <c r="C24" t="s">
        <v>352</v>
      </c>
      <c r="D24" t="s">
        <v>353</v>
      </c>
    </row>
    <row r="25" spans="1:9">
      <c r="A25" t="s">
        <v>330</v>
      </c>
      <c r="C25" t="s">
        <v>354</v>
      </c>
      <c r="D25" t="s">
        <v>355</v>
      </c>
    </row>
    <row r="26" spans="1:9">
      <c r="A26" t="s">
        <v>330</v>
      </c>
      <c r="C26" t="s">
        <v>356</v>
      </c>
      <c r="D26" t="s">
        <v>357</v>
      </c>
    </row>
    <row r="27" spans="1:9">
      <c r="A27" t="s">
        <v>330</v>
      </c>
      <c r="C27" t="s">
        <v>358</v>
      </c>
      <c r="D27" t="s">
        <v>359</v>
      </c>
    </row>
    <row r="28" spans="1:9">
      <c r="A28" t="s">
        <v>330</v>
      </c>
      <c r="C28" t="s">
        <v>360</v>
      </c>
      <c r="D28" t="s">
        <v>361</v>
      </c>
    </row>
    <row r="29" spans="1:9">
      <c r="A29" t="s">
        <v>330</v>
      </c>
      <c r="C29" t="s">
        <v>362</v>
      </c>
      <c r="D29" t="s">
        <v>363</v>
      </c>
    </row>
    <row r="30" spans="1:9">
      <c r="A30" t="s">
        <v>330</v>
      </c>
      <c r="C30" t="s">
        <v>340</v>
      </c>
      <c r="D30" t="s">
        <v>364</v>
      </c>
    </row>
    <row r="31" spans="1:9">
      <c r="A31" t="s">
        <v>330</v>
      </c>
      <c r="C31" t="s">
        <v>344</v>
      </c>
      <c r="D31" t="s">
        <v>365</v>
      </c>
    </row>
    <row r="32" spans="1:9">
      <c r="A32" t="s">
        <v>330</v>
      </c>
      <c r="C32" t="s">
        <v>354</v>
      </c>
      <c r="D32" t="s">
        <v>366</v>
      </c>
    </row>
    <row r="33" spans="1:4">
      <c r="A33" t="s">
        <v>330</v>
      </c>
      <c r="C33" t="s">
        <v>346</v>
      </c>
      <c r="D33" t="s">
        <v>367</v>
      </c>
    </row>
    <row r="34" spans="1:4">
      <c r="A34" t="s">
        <v>330</v>
      </c>
      <c r="C34" t="s">
        <v>368</v>
      </c>
      <c r="D34" t="s">
        <v>369</v>
      </c>
    </row>
    <row r="35" spans="1:4">
      <c r="A35" t="s">
        <v>330</v>
      </c>
      <c r="C35" t="s">
        <v>370</v>
      </c>
      <c r="D35" t="s">
        <v>371</v>
      </c>
    </row>
    <row r="36" spans="1:4">
      <c r="A36" t="s">
        <v>757</v>
      </c>
      <c r="B36" t="s">
        <v>372</v>
      </c>
      <c r="C36" t="s">
        <v>373</v>
      </c>
    </row>
    <row r="37" spans="1:4">
      <c r="A37" t="s">
        <v>757</v>
      </c>
      <c r="B37" t="s">
        <v>374</v>
      </c>
      <c r="C37" t="s">
        <v>373</v>
      </c>
    </row>
    <row r="38" spans="1:4">
      <c r="A38" t="s">
        <v>757</v>
      </c>
      <c r="B38" t="s">
        <v>375</v>
      </c>
      <c r="C38" t="s">
        <v>376</v>
      </c>
    </row>
    <row r="39" spans="1:4">
      <c r="A39" t="s">
        <v>757</v>
      </c>
      <c r="B39" t="s">
        <v>377</v>
      </c>
      <c r="C39" t="s">
        <v>376</v>
      </c>
    </row>
    <row r="40" spans="1:4">
      <c r="A40" t="s">
        <v>757</v>
      </c>
      <c r="B40" t="s">
        <v>378</v>
      </c>
      <c r="C40" t="s">
        <v>376</v>
      </c>
    </row>
    <row r="41" spans="1:4">
      <c r="A41" t="s">
        <v>757</v>
      </c>
      <c r="B41" t="s">
        <v>379</v>
      </c>
      <c r="C41" t="s">
        <v>360</v>
      </c>
    </row>
    <row r="42" spans="1:4">
      <c r="A42" t="s">
        <v>380</v>
      </c>
      <c r="B42" t="s">
        <v>381</v>
      </c>
      <c r="C42" t="s">
        <v>382</v>
      </c>
    </row>
    <row r="43" spans="1:4">
      <c r="A43" t="s">
        <v>380</v>
      </c>
      <c r="B43" t="s">
        <v>383</v>
      </c>
      <c r="C43" t="s">
        <v>384</v>
      </c>
    </row>
    <row r="44" spans="1:4">
      <c r="A44" t="s">
        <v>380</v>
      </c>
      <c r="B44" t="s">
        <v>385</v>
      </c>
      <c r="C44" t="s">
        <v>386</v>
      </c>
    </row>
    <row r="45" spans="1:4">
      <c r="A45" t="s">
        <v>380</v>
      </c>
      <c r="B45" t="s">
        <v>387</v>
      </c>
      <c r="C45" t="s">
        <v>388</v>
      </c>
    </row>
    <row r="46" spans="1:4">
      <c r="A46" t="s">
        <v>380</v>
      </c>
      <c r="B46" t="s">
        <v>389</v>
      </c>
      <c r="C46" t="s">
        <v>390</v>
      </c>
    </row>
    <row r="47" spans="1:4">
      <c r="A47" t="s">
        <v>380</v>
      </c>
      <c r="B47" t="s">
        <v>391</v>
      </c>
      <c r="C47" t="s">
        <v>392</v>
      </c>
    </row>
    <row r="48" spans="1:4">
      <c r="A48" t="s">
        <v>380</v>
      </c>
      <c r="B48" t="s">
        <v>393</v>
      </c>
      <c r="C48" t="s">
        <v>394</v>
      </c>
    </row>
    <row r="49" spans="1:5">
      <c r="A49" t="s">
        <v>380</v>
      </c>
      <c r="B49" t="s">
        <v>395</v>
      </c>
      <c r="C49" t="s">
        <v>396</v>
      </c>
    </row>
    <row r="50" spans="1:5">
      <c r="A50" t="s">
        <v>380</v>
      </c>
      <c r="B50" t="s">
        <v>397</v>
      </c>
      <c r="C50" t="s">
        <v>398</v>
      </c>
    </row>
    <row r="51" spans="1:5">
      <c r="A51" t="s">
        <v>380</v>
      </c>
      <c r="B51" t="s">
        <v>399</v>
      </c>
      <c r="C51" t="s">
        <v>340</v>
      </c>
    </row>
    <row r="52" spans="1:5">
      <c r="A52" t="s">
        <v>380</v>
      </c>
      <c r="B52" t="s">
        <v>400</v>
      </c>
      <c r="C52" t="s">
        <v>342</v>
      </c>
    </row>
    <row r="53" spans="1:5">
      <c r="A53" t="s">
        <v>380</v>
      </c>
      <c r="B53" t="s">
        <v>322</v>
      </c>
      <c r="C53" t="s">
        <v>401</v>
      </c>
    </row>
    <row r="54" spans="1:5">
      <c r="A54" t="s">
        <v>380</v>
      </c>
      <c r="C54" t="s">
        <v>402</v>
      </c>
      <c r="E54" t="s">
        <v>403</v>
      </c>
    </row>
    <row r="55" spans="1:5">
      <c r="A55" t="s">
        <v>404</v>
      </c>
      <c r="B55" t="s">
        <v>405</v>
      </c>
      <c r="C55" t="s">
        <v>406</v>
      </c>
    </row>
    <row r="56" spans="1:5">
      <c r="A56" t="s">
        <v>404</v>
      </c>
      <c r="B56" t="s">
        <v>407</v>
      </c>
      <c r="C56" t="s">
        <v>408</v>
      </c>
    </row>
    <row r="57" spans="1:5">
      <c r="A57" t="s">
        <v>404</v>
      </c>
      <c r="B57" t="s">
        <v>409</v>
      </c>
      <c r="C57" t="s">
        <v>410</v>
      </c>
    </row>
    <row r="58" spans="1:5">
      <c r="A58" t="s">
        <v>404</v>
      </c>
      <c r="B58" t="s">
        <v>411</v>
      </c>
      <c r="C58" t="s">
        <v>412</v>
      </c>
    </row>
    <row r="59" spans="1:5">
      <c r="A59" t="s">
        <v>404</v>
      </c>
      <c r="B59" t="s">
        <v>413</v>
      </c>
      <c r="C59" t="s">
        <v>54</v>
      </c>
    </row>
    <row r="60" spans="1:5">
      <c r="A60" t="s">
        <v>404</v>
      </c>
      <c r="B60" t="s">
        <v>414</v>
      </c>
      <c r="C60" t="s">
        <v>415</v>
      </c>
    </row>
    <row r="61" spans="1:5">
      <c r="A61" t="s">
        <v>404</v>
      </c>
      <c r="B61" t="s">
        <v>416</v>
      </c>
      <c r="C61" t="s">
        <v>417</v>
      </c>
    </row>
    <row r="62" spans="1:5">
      <c r="A62" t="s">
        <v>404</v>
      </c>
      <c r="B62" t="s">
        <v>418</v>
      </c>
      <c r="C62" t="s">
        <v>419</v>
      </c>
    </row>
    <row r="63" spans="1:5">
      <c r="A63" t="s">
        <v>404</v>
      </c>
      <c r="B63" t="s">
        <v>420</v>
      </c>
      <c r="C63" t="s">
        <v>421</v>
      </c>
    </row>
    <row r="64" spans="1:5">
      <c r="A64" t="s">
        <v>404</v>
      </c>
      <c r="B64" t="s">
        <v>422</v>
      </c>
      <c r="C64" t="s">
        <v>423</v>
      </c>
    </row>
    <row r="65" spans="1:4">
      <c r="A65" t="s">
        <v>404</v>
      </c>
      <c r="B65" t="s">
        <v>424</v>
      </c>
      <c r="C65" t="s">
        <v>425</v>
      </c>
    </row>
    <row r="66" spans="1:4">
      <c r="A66" t="s">
        <v>404</v>
      </c>
      <c r="B66" t="s">
        <v>426</v>
      </c>
      <c r="C66" t="s">
        <v>54</v>
      </c>
    </row>
    <row r="67" spans="1:4">
      <c r="A67" t="s">
        <v>404</v>
      </c>
      <c r="B67" t="s">
        <v>427</v>
      </c>
      <c r="C67" t="s">
        <v>415</v>
      </c>
    </row>
    <row r="68" spans="1:4">
      <c r="A68" t="s">
        <v>404</v>
      </c>
      <c r="B68" t="s">
        <v>428</v>
      </c>
      <c r="C68" t="s">
        <v>417</v>
      </c>
    </row>
    <row r="69" spans="1:4">
      <c r="A69" t="s">
        <v>429</v>
      </c>
      <c r="C69" t="s">
        <v>430</v>
      </c>
      <c r="D69" t="s">
        <v>431</v>
      </c>
    </row>
    <row r="70" spans="1:4">
      <c r="A70" t="s">
        <v>429</v>
      </c>
      <c r="C70" t="s">
        <v>432</v>
      </c>
      <c r="D70" t="s">
        <v>433</v>
      </c>
    </row>
    <row r="71" spans="1:4">
      <c r="A71" t="s">
        <v>429</v>
      </c>
      <c r="C71" t="s">
        <v>434</v>
      </c>
      <c r="D71" t="s">
        <v>435</v>
      </c>
    </row>
    <row r="72" spans="1:4">
      <c r="A72" t="s">
        <v>429</v>
      </c>
      <c r="C72" t="s">
        <v>436</v>
      </c>
      <c r="D72" t="s">
        <v>437</v>
      </c>
    </row>
    <row r="73" spans="1:4">
      <c r="A73" t="s">
        <v>429</v>
      </c>
      <c r="C73" t="s">
        <v>438</v>
      </c>
      <c r="D73" t="s">
        <v>439</v>
      </c>
    </row>
    <row r="74" spans="1:4">
      <c r="A74" t="s">
        <v>429</v>
      </c>
      <c r="C74" t="s">
        <v>440</v>
      </c>
      <c r="D74" t="s">
        <v>441</v>
      </c>
    </row>
    <row r="75" spans="1:4">
      <c r="A75" t="s">
        <v>442</v>
      </c>
      <c r="C75" t="s">
        <v>443</v>
      </c>
      <c r="D75" t="s">
        <v>108</v>
      </c>
    </row>
    <row r="76" spans="1:4">
      <c r="A76" t="s">
        <v>442</v>
      </c>
      <c r="C76" t="s">
        <v>444</v>
      </c>
      <c r="D76" t="s">
        <v>109</v>
      </c>
    </row>
    <row r="77" spans="1:4">
      <c r="A77" t="s">
        <v>442</v>
      </c>
      <c r="C77" t="s">
        <v>445</v>
      </c>
      <c r="D77" t="s">
        <v>110</v>
      </c>
    </row>
    <row r="78" spans="1:4">
      <c r="A78" t="s">
        <v>442</v>
      </c>
      <c r="C78" t="s">
        <v>446</v>
      </c>
      <c r="D78" t="s">
        <v>111</v>
      </c>
    </row>
    <row r="79" spans="1:4">
      <c r="A79" t="s">
        <v>442</v>
      </c>
      <c r="C79" t="s">
        <v>447</v>
      </c>
      <c r="D79" t="s">
        <v>112</v>
      </c>
    </row>
    <row r="80" spans="1:4">
      <c r="A80" t="s">
        <v>442</v>
      </c>
      <c r="C80" t="s">
        <v>448</v>
      </c>
      <c r="D80" t="s">
        <v>113</v>
      </c>
    </row>
    <row r="81" spans="1:4">
      <c r="A81" t="s">
        <v>442</v>
      </c>
      <c r="C81" t="s">
        <v>449</v>
      </c>
      <c r="D81" t="s">
        <v>114</v>
      </c>
    </row>
    <row r="82" spans="1:4">
      <c r="A82" t="s">
        <v>442</v>
      </c>
      <c r="C82" t="s">
        <v>450</v>
      </c>
      <c r="D82" t="s">
        <v>115</v>
      </c>
    </row>
    <row r="83" spans="1:4">
      <c r="A83" t="s">
        <v>442</v>
      </c>
      <c r="C83" t="s">
        <v>451</v>
      </c>
      <c r="D83" t="s">
        <v>116</v>
      </c>
    </row>
    <row r="84" spans="1:4">
      <c r="A84" t="s">
        <v>442</v>
      </c>
      <c r="C84" t="s">
        <v>134</v>
      </c>
      <c r="D84" t="s">
        <v>117</v>
      </c>
    </row>
    <row r="85" spans="1:4">
      <c r="A85" t="s">
        <v>442</v>
      </c>
      <c r="C85" t="s">
        <v>5</v>
      </c>
      <c r="D85" t="s">
        <v>118</v>
      </c>
    </row>
    <row r="86" spans="1:4">
      <c r="A86" t="s">
        <v>442</v>
      </c>
      <c r="C86" t="s">
        <v>452</v>
      </c>
      <c r="D86" t="s">
        <v>119</v>
      </c>
    </row>
    <row r="87" spans="1:4">
      <c r="A87" t="s">
        <v>442</v>
      </c>
      <c r="C87" t="s">
        <v>6</v>
      </c>
      <c r="D87" t="s">
        <v>120</v>
      </c>
    </row>
    <row r="88" spans="1:4">
      <c r="A88" t="s">
        <v>442</v>
      </c>
      <c r="C88" t="s">
        <v>7</v>
      </c>
      <c r="D88" t="s">
        <v>121</v>
      </c>
    </row>
    <row r="89" spans="1:4">
      <c r="A89" t="s">
        <v>442</v>
      </c>
      <c r="C89" t="s">
        <v>136</v>
      </c>
      <c r="D89" t="s">
        <v>122</v>
      </c>
    </row>
    <row r="90" spans="1:4">
      <c r="A90" t="s">
        <v>442</v>
      </c>
      <c r="C90" t="s">
        <v>137</v>
      </c>
      <c r="D90" t="s">
        <v>123</v>
      </c>
    </row>
    <row r="91" spans="1:4">
      <c r="A91" t="s">
        <v>442</v>
      </c>
      <c r="C91" t="s">
        <v>138</v>
      </c>
      <c r="D91" t="s">
        <v>124</v>
      </c>
    </row>
    <row r="92" spans="1:4">
      <c r="A92" t="s">
        <v>442</v>
      </c>
      <c r="C92" t="s">
        <v>453</v>
      </c>
      <c r="D92" t="s">
        <v>237</v>
      </c>
    </row>
    <row r="93" spans="1:4">
      <c r="A93" t="s">
        <v>442</v>
      </c>
      <c r="C93" t="s">
        <v>241</v>
      </c>
      <c r="D93" t="s">
        <v>238</v>
      </c>
    </row>
    <row r="94" spans="1:4">
      <c r="A94" t="s">
        <v>442</v>
      </c>
      <c r="C94" t="s">
        <v>454</v>
      </c>
      <c r="D94" t="s">
        <v>239</v>
      </c>
    </row>
    <row r="95" spans="1:4">
      <c r="A95" t="s">
        <v>455</v>
      </c>
      <c r="C95" t="s">
        <v>456</v>
      </c>
      <c r="D95" t="s">
        <v>457</v>
      </c>
    </row>
    <row r="96" spans="1:4">
      <c r="A96" t="s">
        <v>455</v>
      </c>
      <c r="C96" t="s">
        <v>458</v>
      </c>
      <c r="D96" t="s">
        <v>459</v>
      </c>
    </row>
    <row r="97" spans="1:4">
      <c r="A97" t="s">
        <v>455</v>
      </c>
      <c r="C97" t="s">
        <v>460</v>
      </c>
      <c r="D97" t="s">
        <v>461</v>
      </c>
    </row>
    <row r="98" spans="1:4">
      <c r="A98" t="s">
        <v>455</v>
      </c>
      <c r="C98" t="s">
        <v>462</v>
      </c>
      <c r="D98" t="s">
        <v>463</v>
      </c>
    </row>
    <row r="99" spans="1:4">
      <c r="A99" t="s">
        <v>455</v>
      </c>
      <c r="C99" t="s">
        <v>464</v>
      </c>
      <c r="D99" t="s">
        <v>465</v>
      </c>
    </row>
    <row r="100" spans="1:4">
      <c r="A100" t="s">
        <v>455</v>
      </c>
      <c r="C100" t="s">
        <v>466</v>
      </c>
      <c r="D100" t="s">
        <v>467</v>
      </c>
    </row>
    <row r="101" spans="1:4">
      <c r="A101" t="s">
        <v>455</v>
      </c>
      <c r="C101" t="s">
        <v>468</v>
      </c>
      <c r="D101" t="s">
        <v>469</v>
      </c>
    </row>
    <row r="102" spans="1:4">
      <c r="A102" t="s">
        <v>455</v>
      </c>
      <c r="C102" t="s">
        <v>470</v>
      </c>
      <c r="D102" t="s">
        <v>471</v>
      </c>
    </row>
    <row r="103" spans="1:4">
      <c r="A103" t="s">
        <v>455</v>
      </c>
      <c r="C103" t="s">
        <v>472</v>
      </c>
      <c r="D103" t="s">
        <v>473</v>
      </c>
    </row>
    <row r="104" spans="1:4">
      <c r="A104" t="s">
        <v>455</v>
      </c>
      <c r="C104" t="s">
        <v>474</v>
      </c>
      <c r="D104" t="s">
        <v>475</v>
      </c>
    </row>
    <row r="105" spans="1:4">
      <c r="A105" t="s">
        <v>476</v>
      </c>
      <c r="C105" t="s">
        <v>477</v>
      </c>
      <c r="D105" t="s">
        <v>284</v>
      </c>
    </row>
    <row r="106" spans="1:4">
      <c r="A106" t="s">
        <v>476</v>
      </c>
      <c r="C106" t="s">
        <v>478</v>
      </c>
      <c r="D106" t="s">
        <v>286</v>
      </c>
    </row>
    <row r="107" spans="1:4">
      <c r="A107" t="s">
        <v>476</v>
      </c>
      <c r="C107" t="s">
        <v>479</v>
      </c>
      <c r="D107" t="s">
        <v>285</v>
      </c>
    </row>
    <row r="108" spans="1:4">
      <c r="A108" t="s">
        <v>476</v>
      </c>
      <c r="C108" t="s">
        <v>480</v>
      </c>
      <c r="D108" t="s">
        <v>287</v>
      </c>
    </row>
    <row r="109" spans="1:4">
      <c r="A109" t="s">
        <v>476</v>
      </c>
      <c r="C109" t="s">
        <v>481</v>
      </c>
      <c r="D109" t="s">
        <v>288</v>
      </c>
    </row>
    <row r="110" spans="1:4">
      <c r="A110" t="s">
        <v>476</v>
      </c>
      <c r="C110" t="s">
        <v>482</v>
      </c>
      <c r="D110" t="s">
        <v>289</v>
      </c>
    </row>
    <row r="111" spans="1:4">
      <c r="A111" t="s">
        <v>476</v>
      </c>
      <c r="C111" t="s">
        <v>483</v>
      </c>
      <c r="D111" t="s">
        <v>290</v>
      </c>
    </row>
    <row r="112" spans="1:4">
      <c r="A112" t="s">
        <v>476</v>
      </c>
      <c r="C112" t="s">
        <v>484</v>
      </c>
      <c r="D112" t="s">
        <v>291</v>
      </c>
    </row>
    <row r="113" spans="1:4">
      <c r="A113" t="s">
        <v>476</v>
      </c>
      <c r="C113" t="s">
        <v>485</v>
      </c>
      <c r="D113" t="s">
        <v>292</v>
      </c>
    </row>
    <row r="114" spans="1:4">
      <c r="A114" t="s">
        <v>476</v>
      </c>
      <c r="C114" t="s">
        <v>486</v>
      </c>
      <c r="D114" t="s">
        <v>293</v>
      </c>
    </row>
    <row r="115" spans="1:4">
      <c r="A115" t="s">
        <v>476</v>
      </c>
      <c r="C115" t="s">
        <v>487</v>
      </c>
      <c r="D115" t="s">
        <v>294</v>
      </c>
    </row>
    <row r="116" spans="1:4">
      <c r="A116" t="s">
        <v>476</v>
      </c>
      <c r="C116" t="s">
        <v>488</v>
      </c>
      <c r="D116" t="s">
        <v>489</v>
      </c>
    </row>
    <row r="117" spans="1:4">
      <c r="A117" t="s">
        <v>476</v>
      </c>
      <c r="C117" t="s">
        <v>490</v>
      </c>
      <c r="D117" t="s">
        <v>491</v>
      </c>
    </row>
    <row r="118" spans="1:4">
      <c r="A118" t="s">
        <v>476</v>
      </c>
      <c r="C118" t="s">
        <v>492</v>
      </c>
      <c r="D118" t="s">
        <v>493</v>
      </c>
    </row>
    <row r="119" spans="1:4">
      <c r="A119" t="s">
        <v>476</v>
      </c>
      <c r="C119" t="s">
        <v>494</v>
      </c>
      <c r="D119" t="s">
        <v>495</v>
      </c>
    </row>
    <row r="120" spans="1:4">
      <c r="A120" t="s">
        <v>476</v>
      </c>
      <c r="C120" t="s">
        <v>496</v>
      </c>
      <c r="D120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2221-6A29-442D-B142-60E1C144627A}">
  <dimension ref="A1:G36"/>
  <sheetViews>
    <sheetView workbookViewId="0"/>
  </sheetViews>
  <sheetFormatPr defaultRowHeight="14.25"/>
  <cols>
    <col min="1" max="1" width="15" bestFit="1" customWidth="1"/>
    <col min="2" max="2" width="46.59765625" customWidth="1"/>
    <col min="3" max="3" width="21.265625" bestFit="1" customWidth="1"/>
    <col min="4" max="4" width="7.1328125" bestFit="1" customWidth="1"/>
    <col min="7" max="7" width="46.59765625" customWidth="1"/>
  </cols>
  <sheetData>
    <row r="1" spans="1:7">
      <c r="A1" t="s">
        <v>215</v>
      </c>
    </row>
    <row r="2" spans="1:7">
      <c r="A2" t="s">
        <v>97</v>
      </c>
      <c r="B2" t="s">
        <v>98</v>
      </c>
      <c r="C2" t="s">
        <v>99</v>
      </c>
      <c r="D2" t="s">
        <v>517</v>
      </c>
      <c r="G2" t="s">
        <v>595</v>
      </c>
    </row>
    <row r="3" spans="1:7">
      <c r="A3" t="s">
        <v>214</v>
      </c>
      <c r="B3" t="s">
        <v>518</v>
      </c>
      <c r="C3" t="s">
        <v>100</v>
      </c>
      <c r="G3" t="s">
        <v>564</v>
      </c>
    </row>
    <row r="4" spans="1:7">
      <c r="A4" t="s">
        <v>214</v>
      </c>
      <c r="B4" t="s">
        <v>519</v>
      </c>
      <c r="C4" t="s">
        <v>520</v>
      </c>
      <c r="G4" t="s">
        <v>565</v>
      </c>
    </row>
    <row r="5" spans="1:7">
      <c r="A5" t="s">
        <v>214</v>
      </c>
      <c r="B5" t="s">
        <v>521</v>
      </c>
      <c r="C5" t="s">
        <v>200</v>
      </c>
      <c r="G5" t="s">
        <v>566</v>
      </c>
    </row>
    <row r="6" spans="1:7">
      <c r="A6" t="s">
        <v>214</v>
      </c>
      <c r="B6" t="s">
        <v>522</v>
      </c>
      <c r="C6" t="s">
        <v>197</v>
      </c>
      <c r="G6" t="s">
        <v>567</v>
      </c>
    </row>
    <row r="7" spans="1:7">
      <c r="A7" t="s">
        <v>214</v>
      </c>
      <c r="B7" t="s">
        <v>523</v>
      </c>
      <c r="C7" t="s">
        <v>199</v>
      </c>
      <c r="G7" t="s">
        <v>568</v>
      </c>
    </row>
    <row r="8" spans="1:7">
      <c r="A8" t="s">
        <v>214</v>
      </c>
      <c r="B8" t="s">
        <v>524</v>
      </c>
      <c r="C8" t="s">
        <v>525</v>
      </c>
      <c r="G8" t="s">
        <v>569</v>
      </c>
    </row>
    <row r="9" spans="1:7">
      <c r="A9" t="s">
        <v>214</v>
      </c>
      <c r="B9" t="s">
        <v>526</v>
      </c>
      <c r="C9" t="s">
        <v>527</v>
      </c>
      <c r="G9" t="s">
        <v>570</v>
      </c>
    </row>
    <row r="10" spans="1:7">
      <c r="A10" t="s">
        <v>214</v>
      </c>
      <c r="B10" t="s">
        <v>528</v>
      </c>
      <c r="C10" t="s">
        <v>446</v>
      </c>
      <c r="G10" t="s">
        <v>571</v>
      </c>
    </row>
    <row r="11" spans="1:7">
      <c r="A11" t="s">
        <v>214</v>
      </c>
      <c r="B11" t="s">
        <v>529</v>
      </c>
      <c r="C11" t="s">
        <v>530</v>
      </c>
      <c r="G11" t="s">
        <v>572</v>
      </c>
    </row>
    <row r="12" spans="1:7">
      <c r="A12" t="s">
        <v>214</v>
      </c>
      <c r="B12" t="s">
        <v>531</v>
      </c>
      <c r="C12" t="s">
        <v>448</v>
      </c>
      <c r="G12" t="s">
        <v>573</v>
      </c>
    </row>
    <row r="13" spans="1:7">
      <c r="A13" t="s">
        <v>214</v>
      </c>
      <c r="B13" t="s">
        <v>532</v>
      </c>
      <c r="C13" t="s">
        <v>533</v>
      </c>
      <c r="G13" t="s">
        <v>574</v>
      </c>
    </row>
    <row r="14" spans="1:7">
      <c r="A14" t="s">
        <v>214</v>
      </c>
      <c r="B14" t="s">
        <v>534</v>
      </c>
      <c r="C14" t="s">
        <v>392</v>
      </c>
      <c r="G14" t="s">
        <v>575</v>
      </c>
    </row>
    <row r="15" spans="1:7">
      <c r="A15" t="s">
        <v>214</v>
      </c>
      <c r="B15" t="s">
        <v>535</v>
      </c>
      <c r="C15" t="s">
        <v>396</v>
      </c>
    </row>
    <row r="16" spans="1:7">
      <c r="A16" t="s">
        <v>214</v>
      </c>
      <c r="B16" t="s">
        <v>536</v>
      </c>
      <c r="C16" t="s">
        <v>398</v>
      </c>
    </row>
    <row r="17" spans="1:4">
      <c r="A17" t="s">
        <v>214</v>
      </c>
      <c r="B17" t="s">
        <v>537</v>
      </c>
      <c r="C17" t="s">
        <v>538</v>
      </c>
    </row>
    <row r="18" spans="1:4">
      <c r="A18" t="s">
        <v>214</v>
      </c>
      <c r="B18" t="s">
        <v>539</v>
      </c>
      <c r="C18" t="s">
        <v>540</v>
      </c>
    </row>
    <row r="19" spans="1:4">
      <c r="A19" t="s">
        <v>214</v>
      </c>
      <c r="B19" t="s">
        <v>541</v>
      </c>
      <c r="C19" t="s">
        <v>542</v>
      </c>
    </row>
    <row r="20" spans="1:4">
      <c r="A20" t="s">
        <v>214</v>
      </c>
      <c r="B20" t="s">
        <v>543</v>
      </c>
      <c r="C20" t="s">
        <v>544</v>
      </c>
    </row>
    <row r="21" spans="1:4">
      <c r="A21" t="s">
        <v>214</v>
      </c>
      <c r="B21" t="s">
        <v>545</v>
      </c>
      <c r="C21" t="s">
        <v>394</v>
      </c>
    </row>
    <row r="22" spans="1:4">
      <c r="A22" t="s">
        <v>214</v>
      </c>
      <c r="B22" t="s">
        <v>546</v>
      </c>
      <c r="C22" t="s">
        <v>134</v>
      </c>
    </row>
    <row r="23" spans="1:4">
      <c r="A23" t="s">
        <v>547</v>
      </c>
      <c r="B23" t="s">
        <v>548</v>
      </c>
      <c r="C23" t="s">
        <v>446</v>
      </c>
    </row>
    <row r="24" spans="1:4">
      <c r="A24" t="s">
        <v>547</v>
      </c>
      <c r="B24" t="s">
        <v>531</v>
      </c>
      <c r="C24" t="s">
        <v>448</v>
      </c>
    </row>
    <row r="25" spans="1:4">
      <c r="A25" t="s">
        <v>547</v>
      </c>
      <c r="B25" t="s">
        <v>549</v>
      </c>
      <c r="C25" t="s">
        <v>6</v>
      </c>
    </row>
    <row r="26" spans="1:4">
      <c r="A26" t="s">
        <v>547</v>
      </c>
      <c r="B26" t="s">
        <v>550</v>
      </c>
      <c r="C26" t="s">
        <v>520</v>
      </c>
    </row>
    <row r="27" spans="1:4">
      <c r="A27" t="s">
        <v>547</v>
      </c>
      <c r="B27" t="s">
        <v>518</v>
      </c>
      <c r="C27" t="s">
        <v>100</v>
      </c>
    </row>
    <row r="28" spans="1:4">
      <c r="A28" t="s">
        <v>547</v>
      </c>
      <c r="B28" t="s">
        <v>536</v>
      </c>
      <c r="C28" t="s">
        <v>551</v>
      </c>
    </row>
    <row r="29" spans="1:4">
      <c r="A29" t="s">
        <v>547</v>
      </c>
      <c r="B29" t="s">
        <v>552</v>
      </c>
      <c r="C29" t="s">
        <v>553</v>
      </c>
    </row>
    <row r="30" spans="1:4">
      <c r="A30" t="s">
        <v>547</v>
      </c>
      <c r="B30" t="s">
        <v>554</v>
      </c>
      <c r="C30" t="s">
        <v>555</v>
      </c>
    </row>
    <row r="31" spans="1:4">
      <c r="A31" t="s">
        <v>547</v>
      </c>
      <c r="B31" t="s">
        <v>546</v>
      </c>
      <c r="C31" t="s">
        <v>134</v>
      </c>
    </row>
    <row r="32" spans="1:4">
      <c r="A32" t="s">
        <v>556</v>
      </c>
      <c r="C32" t="s">
        <v>557</v>
      </c>
      <c r="D32" t="s">
        <v>37</v>
      </c>
    </row>
    <row r="33" spans="1:4">
      <c r="A33" t="s">
        <v>556</v>
      </c>
      <c r="C33" t="s">
        <v>558</v>
      </c>
      <c r="D33" t="s">
        <v>105</v>
      </c>
    </row>
    <row r="34" spans="1:4">
      <c r="A34" t="s">
        <v>556</v>
      </c>
      <c r="C34" t="s">
        <v>559</v>
      </c>
      <c r="D34" t="s">
        <v>560</v>
      </c>
    </row>
    <row r="35" spans="1:4">
      <c r="A35" t="s">
        <v>556</v>
      </c>
      <c r="B35" t="s">
        <v>561</v>
      </c>
      <c r="C35" t="s">
        <v>562</v>
      </c>
    </row>
    <row r="36" spans="1:4">
      <c r="A36" t="s">
        <v>556</v>
      </c>
      <c r="B36" t="s">
        <v>563</v>
      </c>
      <c r="C36" t="s">
        <v>358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741D-C01B-4643-B2F9-6CFF3EC68003}">
  <dimension ref="A1:F10"/>
  <sheetViews>
    <sheetView workbookViewId="0">
      <selection activeCell="B4" sqref="B4"/>
    </sheetView>
  </sheetViews>
  <sheetFormatPr defaultRowHeight="14.25"/>
  <cols>
    <col min="1" max="1" width="10" bestFit="1" customWidth="1"/>
    <col min="2" max="2" width="36.265625" bestFit="1" customWidth="1"/>
    <col min="3" max="3" width="17.6640625" bestFit="1" customWidth="1"/>
    <col min="6" max="6" width="46.59765625" customWidth="1"/>
  </cols>
  <sheetData>
    <row r="1" spans="1:6">
      <c r="A1" t="s">
        <v>576</v>
      </c>
    </row>
    <row r="2" spans="1:6">
      <c r="A2" t="s">
        <v>97</v>
      </c>
      <c r="B2" t="s">
        <v>98</v>
      </c>
      <c r="C2" t="s">
        <v>99</v>
      </c>
      <c r="F2" t="s">
        <v>596</v>
      </c>
    </row>
    <row r="3" spans="1:6">
      <c r="A3" t="s">
        <v>577</v>
      </c>
      <c r="B3" t="s">
        <v>102</v>
      </c>
      <c r="C3" t="s">
        <v>578</v>
      </c>
      <c r="F3" t="s">
        <v>590</v>
      </c>
    </row>
    <row r="4" spans="1:6">
      <c r="A4" t="s">
        <v>577</v>
      </c>
      <c r="B4" t="s">
        <v>103</v>
      </c>
      <c r="C4" t="s">
        <v>579</v>
      </c>
      <c r="F4" t="s">
        <v>591</v>
      </c>
    </row>
    <row r="5" spans="1:6">
      <c r="A5" t="s">
        <v>577</v>
      </c>
      <c r="B5" t="s">
        <v>580</v>
      </c>
      <c r="C5" t="s">
        <v>581</v>
      </c>
      <c r="F5" t="s">
        <v>592</v>
      </c>
    </row>
    <row r="6" spans="1:6">
      <c r="A6" t="s">
        <v>577</v>
      </c>
      <c r="B6" t="s">
        <v>582</v>
      </c>
      <c r="C6" t="s">
        <v>583</v>
      </c>
      <c r="F6" t="s">
        <v>593</v>
      </c>
    </row>
    <row r="7" spans="1:6">
      <c r="A7" t="s">
        <v>577</v>
      </c>
      <c r="B7" t="s">
        <v>584</v>
      </c>
      <c r="C7" t="s">
        <v>585</v>
      </c>
      <c r="F7" t="s">
        <v>594</v>
      </c>
    </row>
    <row r="8" spans="1:6">
      <c r="A8" t="s">
        <v>577</v>
      </c>
      <c r="B8" t="s">
        <v>250</v>
      </c>
      <c r="C8" t="s">
        <v>586</v>
      </c>
    </row>
    <row r="9" spans="1:6">
      <c r="A9" t="s">
        <v>577</v>
      </c>
      <c r="B9" t="s">
        <v>48</v>
      </c>
      <c r="C9" t="s">
        <v>587</v>
      </c>
    </row>
    <row r="10" spans="1:6">
      <c r="A10" t="s">
        <v>577</v>
      </c>
      <c r="B10" t="s">
        <v>588</v>
      </c>
      <c r="C10" t="s">
        <v>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</vt:lpstr>
      <vt:lpstr>TS_Defs</vt:lpstr>
      <vt:lpstr>Sankey</vt:lpstr>
      <vt:lpstr>Sankey RSD</vt:lpstr>
      <vt:lpstr>Sankey SRV</vt:lpstr>
      <vt:lpstr>PSet_MAP coarse</vt:lpstr>
      <vt:lpstr>CName_MAP</vt:lpstr>
      <vt:lpstr>varbl map</vt:lpstr>
      <vt:lpstr>process map</vt:lpstr>
      <vt:lpstr>commodity map</vt:lpstr>
      <vt:lpstr>ATS</vt:lpstr>
      <vt:lpstr>UnitConv</vt:lpstr>
      <vt:lpstr>process map TIM</vt:lpstr>
      <vt:lpstr>commodity map TIM</vt:lpstr>
      <vt:lpstr>varbl map TIM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2026-09-20T19:03:11Z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700749695301055</vt:r8>
  </property>
</Properties>
</file>