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times-ireland-model_main\"/>
    </mc:Choice>
  </mc:AlternateContent>
  <xr:revisionPtr revIDLastSave="0" documentId="13_ncr:1_{7E39EA95-4C5E-47F2-9887-CAC245A7B90F}" xr6:coauthVersionLast="47" xr6:coauthVersionMax="47" xr10:uidLastSave="{00000000-0000-0000-0000-000000000000}"/>
  <bookViews>
    <workbookView xWindow="-98" yWindow="-98" windowWidth="28996" windowHeight="17475" activeTab="3" xr2:uid="{00000000-000D-0000-FFFF-FFFF00000000}"/>
  </bookViews>
  <sheets>
    <sheet name="Cover" sheetId="16" r:id="rId1"/>
    <sheet name="Sets-Comm" sheetId="5" r:id="rId2"/>
    <sheet name="Sets-Proc" sheetId="11" r:id="rId3"/>
    <sheet name="IND_Sets-Proc" sheetId="6" r:id="rId4"/>
    <sheet name="RSD_Sets-Proc" sheetId="9" r:id="rId5"/>
    <sheet name="TRA_Sets-Proc" sheetId="10" r:id="rId6"/>
    <sheet name="PWR_Sets-Proc" sheetId="8" r:id="rId7"/>
    <sheet name="AGR_Sets-Proc" sheetId="14" r:id="rId8"/>
    <sheet name="SUP_Sets-Proc" sheetId="12" r:id="rId9"/>
    <sheet name="SRV_Sets-Proc" sheetId="15" r:id="rId10"/>
  </sheets>
  <definedNames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hidden="1">#REF!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6" l="1"/>
  <c r="A34" i="9"/>
  <c r="A30" i="9"/>
  <c r="A26" i="9"/>
  <c r="A22" i="9"/>
  <c r="A21" i="9"/>
  <c r="A20" i="9"/>
  <c r="A15" i="9"/>
  <c r="A14" i="9"/>
  <c r="A13" i="9"/>
  <c r="F22" i="6"/>
  <c r="B22" i="6"/>
  <c r="G21" i="6"/>
  <c r="F21" i="6"/>
  <c r="B21" i="6"/>
  <c r="G20" i="6"/>
  <c r="F20" i="6"/>
  <c r="B20" i="6"/>
  <c r="G19" i="6"/>
  <c r="F19" i="6"/>
  <c r="B19" i="6"/>
  <c r="F18" i="6"/>
  <c r="B18" i="6"/>
  <c r="F17" i="6"/>
  <c r="B17" i="6"/>
  <c r="F16" i="6"/>
  <c r="B16" i="6"/>
  <c r="F15" i="6"/>
  <c r="B15" i="6"/>
  <c r="F14" i="6"/>
  <c r="B14" i="6"/>
  <c r="G13" i="6"/>
  <c r="F13" i="6"/>
  <c r="B13" i="6"/>
  <c r="G12" i="6"/>
  <c r="G22" i="6" s="1"/>
  <c r="F12" i="6"/>
  <c r="B12" i="6"/>
  <c r="G11" i="6"/>
  <c r="F11" i="6"/>
  <c r="B11" i="6"/>
  <c r="G10" i="6"/>
  <c r="F10" i="6"/>
  <c r="B10" i="6"/>
  <c r="G9" i="6"/>
  <c r="F9" i="6"/>
  <c r="B9" i="6"/>
  <c r="G8" i="6"/>
  <c r="G18" i="6" s="1"/>
  <c r="F8" i="6"/>
  <c r="B8" i="6"/>
  <c r="G7" i="6"/>
  <c r="G17" i="6" s="1"/>
  <c r="F7" i="6"/>
  <c r="B7" i="6"/>
  <c r="G6" i="6"/>
  <c r="G16" i="6" s="1"/>
  <c r="F6" i="6"/>
  <c r="B6" i="6"/>
  <c r="G5" i="6"/>
  <c r="G15" i="6" s="1"/>
  <c r="F5" i="6"/>
  <c r="B5" i="6"/>
  <c r="G4" i="6"/>
  <c r="G14" i="6" s="1"/>
  <c r="F4" i="6"/>
  <c r="B4" i="6"/>
  <c r="G3" i="6"/>
  <c r="F3" i="6"/>
</calcChain>
</file>

<file path=xl/sharedStrings.xml><?xml version="1.0" encoding="utf-8"?>
<sst xmlns="http://schemas.openxmlformats.org/spreadsheetml/2006/main" count="1900" uniqueCount="707">
  <si>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</si>
  <si>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</si>
  <si>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</si>
  <si>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</si>
  <si>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</si>
  <si>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</si>
  <si>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</si>
  <si>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</si>
  <si>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</si>
  <si>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</si>
  <si>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T_Pos_AndOr_forSets</t>
  </si>
  <si>
    <t>T_Neg_AndOr_forSets</t>
  </si>
  <si>
    <t>Comment</t>
  </si>
  <si>
    <t>DMD_TRA-F-HTRUCK</t>
  </si>
  <si>
    <t>Freight transport - heavy goods truck</t>
  </si>
  <si>
    <t>AND</t>
  </si>
  <si>
    <t>OR</t>
  </si>
  <si>
    <t>DMD_TRA-F-LAND</t>
  </si>
  <si>
    <t>Freight transport - land</t>
  </si>
  <si>
    <t>DMD_TRA-F-LTRUCK</t>
  </si>
  <si>
    <t>Freight transport - light goods truck</t>
  </si>
  <si>
    <t>DMD_TRA-F-TRAIN</t>
  </si>
  <si>
    <t>Freight transport - train</t>
  </si>
  <si>
    <t>DMD_TRA-P-ACTIVE</t>
  </si>
  <si>
    <t>Passenger transport - active modes</t>
  </si>
  <si>
    <t>DMD_TRA-P-BUS</t>
  </si>
  <si>
    <t>Passenger transport - bus</t>
  </si>
  <si>
    <t>DMD_TRA-P-CAR</t>
  </si>
  <si>
    <t>Passenger transport - private car</t>
  </si>
  <si>
    <t>DMD_TRA-P-HPT</t>
  </si>
  <si>
    <t>Passenger transport - heavy passenger train</t>
  </si>
  <si>
    <t>DMD_TRA-P-LAND</t>
  </si>
  <si>
    <t>Passenger transport - land</t>
  </si>
  <si>
    <t>DMD_TRA-P-LPT</t>
  </si>
  <si>
    <t>Passenger transport - light passenger train</t>
  </si>
  <si>
    <t>DMD_TRA-P-MOT</t>
  </si>
  <si>
    <t>Passenger transport - motorcycles</t>
  </si>
  <si>
    <t>DMD_TRA-P-TAXI</t>
  </si>
  <si>
    <t>Passenger transport - taxi</t>
  </si>
  <si>
    <t>Agriculture Sector Fuel Techs</t>
  </si>
  <si>
    <t>Industry Fuel Techs</t>
  </si>
  <si>
    <t>Power Sector Fuel Techs</t>
  </si>
  <si>
    <t>Residential Sector Fuel Techs</t>
  </si>
  <si>
    <t>Supply Sector Fuel Techs</t>
  </si>
  <si>
    <t>Transport Fuel Techs</t>
  </si>
  <si>
    <t>DMD</t>
  </si>
  <si>
    <t>T-HGT*</t>
  </si>
  <si>
    <t>T-*</t>
  </si>
  <si>
    <t>T-LGT*</t>
  </si>
  <si>
    <t>T-GTR*</t>
  </si>
  <si>
    <t>T-CYC*,T-WLK*</t>
  </si>
  <si>
    <t>TRAP*</t>
  </si>
  <si>
    <t>T-BUS*</t>
  </si>
  <si>
    <t>T-CAR*</t>
  </si>
  <si>
    <t>T-HPT*</t>
  </si>
  <si>
    <t>T-LPT*</t>
  </si>
  <si>
    <t>T-MOT*</t>
  </si>
  <si>
    <t>T-TAX*</t>
  </si>
  <si>
    <t>FT-PWR*</t>
  </si>
  <si>
    <t>FT-RSD*</t>
  </si>
  <si>
    <t>FT-SUP*</t>
  </si>
  <si>
    <t>FT-TRA*,-*WLK,-*CYC</t>
  </si>
  <si>
    <t>P*GAS*,-*CCS*</t>
  </si>
  <si>
    <t>P*GAS*CCS*</t>
  </si>
  <si>
    <t>P*H2-*</t>
  </si>
  <si>
    <t>P*OCE*</t>
  </si>
  <si>
    <t>P*HFO*,P*DIS*</t>
  </si>
  <si>
    <t>P*SOL*</t>
  </si>
  <si>
    <t>P*WIN*OF*</t>
  </si>
  <si>
    <t>P*WIN*ON*</t>
  </si>
  <si>
    <t>~TFM_Csets</t>
  </si>
  <si>
    <t>CSET_SET</t>
  </si>
  <si>
    <t>CSET_CN</t>
  </si>
  <si>
    <t>CSET_CD</t>
  </si>
  <si>
    <t>C_Pos_AndOr</t>
  </si>
  <si>
    <t>C_Neg_AndOr</t>
  </si>
  <si>
    <t>C_Pos_AndOr_forSets</t>
  </si>
  <si>
    <t>C_Neg_AndOr_forSets</t>
  </si>
  <si>
    <t>NOx Emissions</t>
  </si>
  <si>
    <t>NOx emissions from Agriculture</t>
  </si>
  <si>
    <t>NOx emissions from Industry</t>
  </si>
  <si>
    <t>NOx emissions from Electricity generation</t>
  </si>
  <si>
    <t>NOx emissions from Residential</t>
  </si>
  <si>
    <t>NOx emissions from Supply</t>
  </si>
  <si>
    <t>NOx emissions from Transport</t>
  </si>
  <si>
    <t>PM10 Emissions</t>
  </si>
  <si>
    <t>PM10 emissions from Agriculture</t>
  </si>
  <si>
    <t>PM10 emissions from Industry</t>
  </si>
  <si>
    <t>PM10 emissions from Electricity generation</t>
  </si>
  <si>
    <t>PM10 emissions from Residential</t>
  </si>
  <si>
    <t>PM10 emissions from Supply</t>
  </si>
  <si>
    <t>PM10 emissions from Transport</t>
  </si>
  <si>
    <t>PM2.5 Emissions</t>
  </si>
  <si>
    <t>PM2.5 emissions from Agriculture</t>
  </si>
  <si>
    <t>PM2.5 emissions from Industry</t>
  </si>
  <si>
    <t>PM2.5 emissions from Electricity generation</t>
  </si>
  <si>
    <t>PM2.5 emissions from Residential</t>
  </si>
  <si>
    <t>PM2.5 emissions from Supply</t>
  </si>
  <si>
    <t>PM2.5 emissions from Transport</t>
  </si>
  <si>
    <t>SO2 Emissions</t>
  </si>
  <si>
    <t>SO2 emissions from Agriculture</t>
  </si>
  <si>
    <t>SO2 emissions from Industry</t>
  </si>
  <si>
    <t>SO2 emissions from Electricity generation</t>
  </si>
  <si>
    <t>SO2 emissions from Residential</t>
  </si>
  <si>
    <t>SO2 emissions from Supply</t>
  </si>
  <si>
    <t>SO2 emissions from Transport</t>
  </si>
  <si>
    <t>VOC Emissions</t>
  </si>
  <si>
    <t>Transport energy carriers</t>
  </si>
  <si>
    <t>DEM_AGR</t>
  </si>
  <si>
    <t>Agriculture Demand</t>
  </si>
  <si>
    <t>DEM_IND</t>
  </si>
  <si>
    <t>Industrial Demand</t>
  </si>
  <si>
    <t>DEM_RSD</t>
  </si>
  <si>
    <t>Residential Demand</t>
  </si>
  <si>
    <t>DEM_TRA</t>
  </si>
  <si>
    <t>Transport Demand</t>
  </si>
  <si>
    <t>CH4 Emissions</t>
  </si>
  <si>
    <t>CH4 emissions from Agriculture</t>
  </si>
  <si>
    <t>CH4 emissions from Industry</t>
  </si>
  <si>
    <t>CH4 emissions from Electricity generation</t>
  </si>
  <si>
    <t>CH4 emissions from Residential</t>
  </si>
  <si>
    <t>CH4 emissions from Supply</t>
  </si>
  <si>
    <t>CH4 emissions from Transport</t>
  </si>
  <si>
    <t>CO2 Emissions</t>
  </si>
  <si>
    <t>CO2 emissions from Agriculture</t>
  </si>
  <si>
    <t>CO2 emissions from Industry</t>
  </si>
  <si>
    <t>CO2 emissions from Electricity generation</t>
  </si>
  <si>
    <t>CO2 emissions from Residential</t>
  </si>
  <si>
    <t>CO2 emissions from Supply</t>
  </si>
  <si>
    <t>CO2 emissions from Transport</t>
  </si>
  <si>
    <t>N2O Emissions</t>
  </si>
  <si>
    <t>N2O emissions from Agriculture</t>
  </si>
  <si>
    <t>N2O emissions from Industry</t>
  </si>
  <si>
    <t>N2O emissions from Electricity generation</t>
  </si>
  <si>
    <t>N2O emissions from Residential</t>
  </si>
  <si>
    <t>N2O emissions from Supply</t>
  </si>
  <si>
    <t>N2O emissions from Transport</t>
  </si>
  <si>
    <t>ENV</t>
  </si>
  <si>
    <t>*NOX*</t>
  </si>
  <si>
    <t>A*NOX*</t>
  </si>
  <si>
    <t>I*NOX*</t>
  </si>
  <si>
    <t>P*NOX*</t>
  </si>
  <si>
    <t>R*NOX*</t>
  </si>
  <si>
    <t>T*NOX*</t>
  </si>
  <si>
    <t>*PM10*</t>
  </si>
  <si>
    <t>A*PM10*</t>
  </si>
  <si>
    <t>I*PM10*</t>
  </si>
  <si>
    <t>P*PM10*</t>
  </si>
  <si>
    <t>R*PM10*</t>
  </si>
  <si>
    <t>T*PM10*</t>
  </si>
  <si>
    <t>*PM25*</t>
  </si>
  <si>
    <t>A*PM25*</t>
  </si>
  <si>
    <t>I*PM25*</t>
  </si>
  <si>
    <t>P*PM25*</t>
  </si>
  <si>
    <t>R*PM25*</t>
  </si>
  <si>
    <t>T*PM25*</t>
  </si>
  <si>
    <t>*SO2*</t>
  </si>
  <si>
    <t>A*SO2*</t>
  </si>
  <si>
    <t>I*SO2*</t>
  </si>
  <si>
    <t>P*SO2*</t>
  </si>
  <si>
    <t>R*SO2*</t>
  </si>
  <si>
    <t>T*SO2*</t>
  </si>
  <si>
    <t>*VOC*</t>
  </si>
  <si>
    <t>NRG</t>
  </si>
  <si>
    <t>TRA*,-*WLK,-*CYC</t>
  </si>
  <si>
    <t>DEM</t>
  </si>
  <si>
    <t>A*</t>
  </si>
  <si>
    <t>R*</t>
  </si>
  <si>
    <t>T*</t>
  </si>
  <si>
    <t>*CH4*</t>
  </si>
  <si>
    <t>A*CH4*</t>
  </si>
  <si>
    <t>I*CH4*</t>
  </si>
  <si>
    <t>P*CH4*</t>
  </si>
  <si>
    <t>R*CH4*</t>
  </si>
  <si>
    <t>T*CH4*</t>
  </si>
  <si>
    <t>*CO2*,-*CO2S*,-TOTCO2*,-*ETS*</t>
  </si>
  <si>
    <t>A*CO2*,-*CO2S</t>
  </si>
  <si>
    <t>I*CO2*,-*CO2S</t>
  </si>
  <si>
    <t>P*CO2*,-*CO2S</t>
  </si>
  <si>
    <t>R*CO2*,-*CO2S</t>
  </si>
  <si>
    <t>T*CO2*,-*CO2S,-TOTCO2*</t>
  </si>
  <si>
    <t>*N2O*</t>
  </si>
  <si>
    <t>A*N2O*</t>
  </si>
  <si>
    <t>I*N2O*</t>
  </si>
  <si>
    <t>P*N2O*</t>
  </si>
  <si>
    <t>R*N2O*</t>
  </si>
  <si>
    <t>T*N2O*</t>
  </si>
  <si>
    <t>AGR*</t>
  </si>
  <si>
    <t>IND*</t>
  </si>
  <si>
    <t>I*</t>
  </si>
  <si>
    <t>PRE</t>
  </si>
  <si>
    <t>IRE</t>
  </si>
  <si>
    <t>R-RSDRF*</t>
  </si>
  <si>
    <t>R-PF*</t>
  </si>
  <si>
    <t>R-RSDOE*</t>
  </si>
  <si>
    <t>R-RSDOA*</t>
  </si>
  <si>
    <t>R-LT*</t>
  </si>
  <si>
    <t>R-RSDDW*</t>
  </si>
  <si>
    <t>R-RSDCW*</t>
  </si>
  <si>
    <t>R-RSDCK*</t>
  </si>
  <si>
    <t>R-RSDCD*</t>
  </si>
  <si>
    <t>TRAF*</t>
  </si>
  <si>
    <t>T-MGT*</t>
  </si>
  <si>
    <t>DMD_TRA-F-MTRUCK</t>
  </si>
  <si>
    <t>Freight transport - medium goods truck</t>
  </si>
  <si>
    <t>FT-IND*</t>
  </si>
  <si>
    <t>ENV-CH4</t>
  </si>
  <si>
    <t>ENV-CH4_AGR</t>
  </si>
  <si>
    <t>ENV-CH4_IND</t>
  </si>
  <si>
    <t>ENV-CH4_PWR</t>
  </si>
  <si>
    <t>ENV-CH4_RSD</t>
  </si>
  <si>
    <t>ENV-CH4_SUP</t>
  </si>
  <si>
    <t>ENV-CH4_TRA</t>
  </si>
  <si>
    <t>ENV-CO2</t>
  </si>
  <si>
    <t>ENV-CO2_AGR</t>
  </si>
  <si>
    <t>ENV-CO2_IND</t>
  </si>
  <si>
    <t>ENV-CO2_PWR</t>
  </si>
  <si>
    <t>ENV-CO2_RSD</t>
  </si>
  <si>
    <t>ENV-CO2_SUP</t>
  </si>
  <si>
    <t>ENV-CO2_TRA</t>
  </si>
  <si>
    <t>ENV-N2O</t>
  </si>
  <si>
    <t>ENV-N2O_AGR</t>
  </si>
  <si>
    <t>ENV-N2O_IND</t>
  </si>
  <si>
    <t>ENV-N2O_PWR</t>
  </si>
  <si>
    <t>ENV-N2O_RSD</t>
  </si>
  <si>
    <t>ENV-N2O_SUP</t>
  </si>
  <si>
    <t>ENV-N2O_TRA</t>
  </si>
  <si>
    <t>ENV-NOX</t>
  </si>
  <si>
    <t>ENV-NOX_AGR</t>
  </si>
  <si>
    <t>ENV-NOX_IND</t>
  </si>
  <si>
    <t>ENV-NOX_PWR</t>
  </si>
  <si>
    <t>ENV-NOX_RSD</t>
  </si>
  <si>
    <t>ENV-NOX_SUP</t>
  </si>
  <si>
    <t>ENV-NOX_TRA</t>
  </si>
  <si>
    <t>ENV-PM10</t>
  </si>
  <si>
    <t>ENV-PM10_AGR</t>
  </si>
  <si>
    <t>ENV-PM10_IND</t>
  </si>
  <si>
    <t>ENV-PM10_PWR</t>
  </si>
  <si>
    <t>ENV-PM10_RSD</t>
  </si>
  <si>
    <t>ENV-PM10_SUP</t>
  </si>
  <si>
    <t>ENV-PM10_TRA</t>
  </si>
  <si>
    <t>ENV-PM25</t>
  </si>
  <si>
    <t>ENV-PM25_AGR</t>
  </si>
  <si>
    <t>ENV-PM25_IND</t>
  </si>
  <si>
    <t>ENV-PM25_PWR</t>
  </si>
  <si>
    <t>ENV-PM25_RSD</t>
  </si>
  <si>
    <t>ENV-PM25_SUP</t>
  </si>
  <si>
    <t>ENV-PM25_TRA</t>
  </si>
  <si>
    <t>ENV-SO2</t>
  </si>
  <si>
    <t>ENV-SO2_AGR</t>
  </si>
  <si>
    <t>ENV-SO2_IND</t>
  </si>
  <si>
    <t>ENV-SO2_PWR</t>
  </si>
  <si>
    <t>ENV-SO2_RSD</t>
  </si>
  <si>
    <t>ENV-SO2_SUP</t>
  </si>
  <si>
    <t>ENV-SO2_TRA</t>
  </si>
  <si>
    <t>ENV-VOC</t>
  </si>
  <si>
    <t>NGR-FUELS_TRA</t>
  </si>
  <si>
    <t>FT_AGR</t>
  </si>
  <si>
    <t>FT_IND</t>
  </si>
  <si>
    <t>FT_PWR</t>
  </si>
  <si>
    <t>FT_RSD</t>
  </si>
  <si>
    <t>FT_SUP</t>
  </si>
  <si>
    <t>FT_TRA</t>
  </si>
  <si>
    <t>PWR-BIO</t>
  </si>
  <si>
    <t>PWR-COA</t>
  </si>
  <si>
    <t>PWR-GAS</t>
  </si>
  <si>
    <t>PWR-GAS-CCS</t>
  </si>
  <si>
    <t>PWR-H2</t>
  </si>
  <si>
    <t>PWR-HYD</t>
  </si>
  <si>
    <t>PWR-OCE</t>
  </si>
  <si>
    <t>PWR-OIL</t>
  </si>
  <si>
    <t>PWR-SOL</t>
  </si>
  <si>
    <t>PWR-WIN-OF</t>
  </si>
  <si>
    <t>PWR-WIN-ON</t>
  </si>
  <si>
    <t>Electricity Generation - Solar</t>
  </si>
  <si>
    <t>Electricity Generation - Wind onshore</t>
  </si>
  <si>
    <t>Electricity Generation - Wind offshore</t>
  </si>
  <si>
    <t>Electricity Generation - Oil</t>
  </si>
  <si>
    <t>Electricity Generation - Wave and Tidal</t>
  </si>
  <si>
    <t>Electricity Generation - Hydro</t>
  </si>
  <si>
    <t>Electricity Generation - Hydrogen</t>
  </si>
  <si>
    <t>Electricity Generation - Gas with CCS</t>
  </si>
  <si>
    <t>Electricity Generation - Gas without CCS</t>
  </si>
  <si>
    <t>DMD_TRA-P-CAR-BEV</t>
  </si>
  <si>
    <t>Passenger transport - private car - battery electric vehicle</t>
  </si>
  <si>
    <t>RSDWH*,RSDSH*,RSDSC*</t>
  </si>
  <si>
    <t>-IRE</t>
  </si>
  <si>
    <t>DUMMY_IMPORT</t>
  </si>
  <si>
    <t>Dummy import processes</t>
  </si>
  <si>
    <t>IMP*Z</t>
  </si>
  <si>
    <t>NGR-FUELS_RSD</t>
  </si>
  <si>
    <t>Residential energy carriers</t>
  </si>
  <si>
    <t>NGR-FUELS_IND</t>
  </si>
  <si>
    <t>Industry energy carriers</t>
  </si>
  <si>
    <t>NGR-FUELS_AGR</t>
  </si>
  <si>
    <t>Agriculture energy carriers</t>
  </si>
  <si>
    <t>RSD*,-*_*t</t>
  </si>
  <si>
    <t>Residential - Buildings - Apartments</t>
  </si>
  <si>
    <t>Residential - Buildings - Attached</t>
  </si>
  <si>
    <t>Residential - Buildings - Detached</t>
  </si>
  <si>
    <t>DMD_RSD-BLD-APT</t>
  </si>
  <si>
    <t>DMD_RSD-BLD-ATT</t>
  </si>
  <si>
    <t>DMD_RSD-BLD-DET</t>
  </si>
  <si>
    <t>R*BLD*APT*</t>
  </si>
  <si>
    <t>R*BLD*ATT*</t>
  </si>
  <si>
    <t>R*BLD*DET*</t>
  </si>
  <si>
    <t>FT-AGR*</t>
  </si>
  <si>
    <t>P-RNW*HYD*</t>
  </si>
  <si>
    <t>P*MSW*</t>
  </si>
  <si>
    <t>Electricity Generation - Municipal Solid Waste</t>
  </si>
  <si>
    <t>PWR-MSW</t>
  </si>
  <si>
    <t>Electricity Generation - Biomass without CCS</t>
  </si>
  <si>
    <t>PWR-BIO-CCS</t>
  </si>
  <si>
    <t>Electricity Generation - Biomass with CCS</t>
  </si>
  <si>
    <t>PWR-PEA</t>
  </si>
  <si>
    <t>Electricity Generation - Coal without CCS</t>
  </si>
  <si>
    <t>PWR-COA-CCS</t>
  </si>
  <si>
    <t>Electricity Generation - Coal with CCS</t>
  </si>
  <si>
    <t>P*BIO*,-*CCS*</t>
  </si>
  <si>
    <t>P*BIO*CCS*</t>
  </si>
  <si>
    <t>P*COA*,-*CCS*</t>
  </si>
  <si>
    <t>P*COA*CCS*</t>
  </si>
  <si>
    <t>P*PEA*CCS*</t>
  </si>
  <si>
    <t>P*PEA*,-*CCS*</t>
  </si>
  <si>
    <t>Electricity Generation - Peat without CCS</t>
  </si>
  <si>
    <t>Electricity Generation - Peat with CCS</t>
  </si>
  <si>
    <t>PWR-PEA-CCS</t>
  </si>
  <si>
    <t>P*GEO*</t>
  </si>
  <si>
    <t>PWR-GEO</t>
  </si>
  <si>
    <t>Electricity Generation - Geothermal</t>
  </si>
  <si>
    <t>PWR*</t>
  </si>
  <si>
    <t>Power sector energy carriers</t>
  </si>
  <si>
    <t>NGR-FUELS_PWR</t>
  </si>
  <si>
    <t>IRE-IMP</t>
  </si>
  <si>
    <t>Import processes</t>
  </si>
  <si>
    <t>EXP*</t>
  </si>
  <si>
    <t>IRE-EXP</t>
  </si>
  <si>
    <t>IRE-MIN</t>
  </si>
  <si>
    <t>Export processes</t>
  </si>
  <si>
    <t>Mining processes</t>
  </si>
  <si>
    <t>IMP*</t>
  </si>
  <si>
    <t>MIN*,-*WLK,-*CYC</t>
  </si>
  <si>
    <t>TAVIDOM</t>
  </si>
  <si>
    <t>DMD_TRA-R-AVIDOM</t>
  </si>
  <si>
    <t>Transport - domestic aviation</t>
  </si>
  <si>
    <t>TAVIINT</t>
  </si>
  <si>
    <t>DMD_TRA-R-AVIINT</t>
  </si>
  <si>
    <t>Transport - international aviation</t>
  </si>
  <si>
    <t>TOTH</t>
  </si>
  <si>
    <t>Transport - unspecified</t>
  </si>
  <si>
    <t>DMD_TRA-R-NAV</t>
  </si>
  <si>
    <t>TNAV</t>
  </si>
  <si>
    <t>Transport - navigation</t>
  </si>
  <si>
    <t>TTURS</t>
  </si>
  <si>
    <t>DMD_TRA-R-TURS</t>
  </si>
  <si>
    <t>Transport - tourism</t>
  </si>
  <si>
    <t>DMD_TRA-R-OTH</t>
  </si>
  <si>
    <t>T-CAR-BEV*</t>
  </si>
  <si>
    <t>T-CAR-FCV*</t>
  </si>
  <si>
    <t>Passenger transport - private car - fuel cell vehicle</t>
  </si>
  <si>
    <t>T-CAR-HEV*</t>
  </si>
  <si>
    <t>Passenger transport - private car - hybrid electric vehicle</t>
  </si>
  <si>
    <t>T-CAR-ICE*</t>
  </si>
  <si>
    <t>Passenger transport - private car - ICE vehicle</t>
  </si>
  <si>
    <t>T-CAR-PHEV*</t>
  </si>
  <si>
    <t>Passenger transport - private car - plugin hybrid electric vehicle</t>
  </si>
  <si>
    <t>DMD_TRA-P-CAR-FCV</t>
  </si>
  <si>
    <t>DMD_TRA-P-CAR-HEV</t>
  </si>
  <si>
    <t>DMD_TRA-P-CAR-ICE</t>
  </si>
  <si>
    <t>DMD_TRA-P-CAR-PHEV</t>
  </si>
  <si>
    <t>T-HGT-BEV*</t>
  </si>
  <si>
    <t>DMD_TRA-F-HTRUCK-BEV</t>
  </si>
  <si>
    <t>Freight transport - heavy goods truck - battery electric</t>
  </si>
  <si>
    <t>T-HGT-FCV*</t>
  </si>
  <si>
    <t>T-HGT-HEV*</t>
  </si>
  <si>
    <t>T-HGT-ICE*</t>
  </si>
  <si>
    <t>Freight transport - heavy goods truck - fuel cell</t>
  </si>
  <si>
    <t>Freight transport - heavy goods truck - hybrid electric</t>
  </si>
  <si>
    <t>Freight transport - heavy goods truck - ICE</t>
  </si>
  <si>
    <t>T-MGT-BEV*</t>
  </si>
  <si>
    <t>T-MGT-FCV*</t>
  </si>
  <si>
    <t>T-MGT-HEV*</t>
  </si>
  <si>
    <t>T-MGT-ICE*</t>
  </si>
  <si>
    <t>DMD_TRA-F-MTRUCK-BEV</t>
  </si>
  <si>
    <t>Freight transport - medium goods truck - battery electric</t>
  </si>
  <si>
    <t>Freight transport - medium goods truck - fuel cell</t>
  </si>
  <si>
    <t>Freight transport - medium goods truck - hybrid electric</t>
  </si>
  <si>
    <t>Freight transport - medium goods truck - ICE</t>
  </si>
  <si>
    <t>T-LGT-BEV*</t>
  </si>
  <si>
    <t>T-LGT-FCV*</t>
  </si>
  <si>
    <t>T-LGT-HEV*</t>
  </si>
  <si>
    <t>T-LGT-ICE*</t>
  </si>
  <si>
    <t>T-LGT-PHEV*</t>
  </si>
  <si>
    <t>DMD_TRA-F-LTRUCK-BEV</t>
  </si>
  <si>
    <t>DMD_TRA-F-HTRUCK-FCV</t>
  </si>
  <si>
    <t>DMD_TRA-F-HTRUCK-HEV</t>
  </si>
  <si>
    <t>DMD_TRA-F-HTRUCK-ICE</t>
  </si>
  <si>
    <t>DMD_TRA-F-MTRUCK-FCV</t>
  </si>
  <si>
    <t>DMD_TRA-F-MTRUCK-HEV</t>
  </si>
  <si>
    <t>DMD_TRA-F-MTRUCK-ICE</t>
  </si>
  <si>
    <t>DMD_TRA-F-LTRUCK-FCV</t>
  </si>
  <si>
    <t>DMD_TRA-F-LTRUCK-HEV</t>
  </si>
  <si>
    <t>DMD_TRA-F-LTRUCK-ICE</t>
  </si>
  <si>
    <t>DMD_TRA-F-LTRUCK-PHEV</t>
  </si>
  <si>
    <t>Freight transport - light goods truck - battery electric</t>
  </si>
  <si>
    <t>Passenger transport - light goods truck - fuel cell</t>
  </si>
  <si>
    <t>Passenger transport - light goods truck - hybrid electric</t>
  </si>
  <si>
    <t>Passenger transport - light goods truck - ICE</t>
  </si>
  <si>
    <t xml:space="preserve">Passenger transport - light goods truck - plugin hybrid electric </t>
  </si>
  <si>
    <t>SH2P*ELC*</t>
  </si>
  <si>
    <t>SUP-H2-Electrolysis</t>
  </si>
  <si>
    <t>Hydrogen Generation - Electrolysis</t>
  </si>
  <si>
    <t>ABIO*</t>
  </si>
  <si>
    <t>AGR-BIO</t>
  </si>
  <si>
    <t>AGR - processes producing primary biomass commodities</t>
  </si>
  <si>
    <t>FT_SRV</t>
  </si>
  <si>
    <t>Service Sector Fuel Techs</t>
  </si>
  <si>
    <t>DEM_SRV</t>
  </si>
  <si>
    <t>ENV-CH4_SRV</t>
  </si>
  <si>
    <t>ENV-CO2_SRV</t>
  </si>
  <si>
    <t>ENV-N2O_SRV</t>
  </si>
  <si>
    <t>ENV-NOX_SRV</t>
  </si>
  <si>
    <t>ENV-PM10_SRV</t>
  </si>
  <si>
    <t>ENV-PM25_SRV</t>
  </si>
  <si>
    <t>ENV-SO2_SRV</t>
  </si>
  <si>
    <t>NGR-FUELS_SRV</t>
  </si>
  <si>
    <t>Services Demand</t>
  </si>
  <si>
    <t>CH4 emissions from Services</t>
  </si>
  <si>
    <t>CO2 emissions from Services</t>
  </si>
  <si>
    <t>N2O emissions from Services</t>
  </si>
  <si>
    <t>NOx emissions from Services</t>
  </si>
  <si>
    <t>PM10 emissions from Services</t>
  </si>
  <si>
    <t>PM2.5 emissions from Services</t>
  </si>
  <si>
    <t>SO2 emissions from Services</t>
  </si>
  <si>
    <t>Services energy carriers</t>
  </si>
  <si>
    <t>RSD_BLD-XXX_NRGSRV-CD</t>
  </si>
  <si>
    <t>RSD_BLD-XXX_NRGSRV-CK</t>
  </si>
  <si>
    <t>RSD_BLD-XXX_NRGSRV-CW</t>
  </si>
  <si>
    <t>RSD_BLD-XXX_NRGSRV-DW</t>
  </si>
  <si>
    <t>RSD_BLD-XXX_NRGSRV-LT</t>
  </si>
  <si>
    <t>RSD_BLD-XXX_NRGSRV-OA</t>
  </si>
  <si>
    <t>RSD_BLD-XXX_NRGSRV-OE</t>
  </si>
  <si>
    <t>RSD_BLD-XXX_NRGSRV-PF</t>
  </si>
  <si>
    <t>RSD_BLD-XXX_NRGSRV-RF</t>
  </si>
  <si>
    <t>RSD_BLD-XXX_NRGSRV-WS</t>
  </si>
  <si>
    <t>Residential - All Buildings - Cloth Drying</t>
  </si>
  <si>
    <t>Residential  - All Buildings - Cooking</t>
  </si>
  <si>
    <t>Residential - All Buildings - Cloth Washing</t>
  </si>
  <si>
    <t>Residential - All Buildings - Dish Washing</t>
  </si>
  <si>
    <t>Residential - All Buildings - Lighting</t>
  </si>
  <si>
    <t>Residential - All Buildings - Other Applications</t>
  </si>
  <si>
    <t>Residential - All Buildings - Electric Appliances</t>
  </si>
  <si>
    <t>Residential - All Buildings - Pump and Fans</t>
  </si>
  <si>
    <t>Residential - All Buildings - Refrigeration</t>
  </si>
  <si>
    <t>Residential - All Buildings - Hot Water and Space Heating and Cooling</t>
  </si>
  <si>
    <t>Residential - Apartments - Hot Water and Space Heating and Cooling</t>
  </si>
  <si>
    <t>Residential - Attached - Hot Water and Space Heating and Cooling</t>
  </si>
  <si>
    <t>Residential - Detached - Hot Water and Space Heating and Cooling</t>
  </si>
  <si>
    <t>RSD_BLD-APT_NRGSRV-WS</t>
  </si>
  <si>
    <t>RSD_BLD-ATT_NRGSRV-WS</t>
  </si>
  <si>
    <t>RSD_BLD-DET_NRGSRV-WS</t>
  </si>
  <si>
    <t>R*,-R-RTFT*</t>
  </si>
  <si>
    <t>R-RTFT*</t>
  </si>
  <si>
    <t>RSD_BLD-XXX_RTFT</t>
  </si>
  <si>
    <t>Residential - All Buildings - Retrofits</t>
  </si>
  <si>
    <t>Residential - Apartments - Retrofits</t>
  </si>
  <si>
    <t>Residential - Attached - Retrofits</t>
  </si>
  <si>
    <t>Residential - Detached - Retrofits</t>
  </si>
  <si>
    <t>R*APT*</t>
  </si>
  <si>
    <t>R*ATT*</t>
  </si>
  <si>
    <t>R*DET*</t>
  </si>
  <si>
    <t>RSD_BLD-APT_RTFT</t>
  </si>
  <si>
    <t>RSD_BLD-ATT_RTFT</t>
  </si>
  <si>
    <t>RSD_BLD-DET_RTFT</t>
  </si>
  <si>
    <t>SEAI_COAL</t>
  </si>
  <si>
    <t>Coal - SEAI grouping</t>
  </si>
  <si>
    <t>SEAI_PEAT</t>
  </si>
  <si>
    <t>SEAI_OIL</t>
  </si>
  <si>
    <t>Oil - SEAI grouping</t>
  </si>
  <si>
    <t>Peat - SEAI grouping</t>
  </si>
  <si>
    <t>SEAI_NATGAS</t>
  </si>
  <si>
    <t>Natural gas - SEAI grouping</t>
  </si>
  <si>
    <t>SEAI_ELECTRICITY</t>
  </si>
  <si>
    <t>SEAI_HEAT</t>
  </si>
  <si>
    <t>Electricity - SEAI grouping</t>
  </si>
  <si>
    <t>Heat - SEAI grouping</t>
  </si>
  <si>
    <t>*COA*</t>
  </si>
  <si>
    <t>*PEA*</t>
  </si>
  <si>
    <t>*OIL*,*LPG,*HFO,*GSL,*DST,*KER,INDCOK</t>
  </si>
  <si>
    <t>*ELC*</t>
  </si>
  <si>
    <t>*HET*</t>
  </si>
  <si>
    <t>SUPH2*</t>
  </si>
  <si>
    <t>SEAI_HYDROGEN</t>
  </si>
  <si>
    <t>Hydrogen - SEAI grouping</t>
  </si>
  <si>
    <t>*NAT*,*GAS,*LNG</t>
  </si>
  <si>
    <t>BIO*</t>
  </si>
  <si>
    <t>Other renewables - SEAI grouping</t>
  </si>
  <si>
    <t>SEAI_OTHER_RENEWABLES</t>
  </si>
  <si>
    <t>SEAI_BIOENERGY</t>
  </si>
  <si>
    <t>Bioenergy - SEAI grouping</t>
  </si>
  <si>
    <t>*REN*</t>
  </si>
  <si>
    <t>FT-SRV*</t>
  </si>
  <si>
    <t>SRVCH4*</t>
  </si>
  <si>
    <t>SUPCH4*</t>
  </si>
  <si>
    <t>S*</t>
  </si>
  <si>
    <t>SRVCO2*,-*CO2S</t>
  </si>
  <si>
    <t>SUPCO2*,-*CO2S</t>
  </si>
  <si>
    <t>SRVN2O*</t>
  </si>
  <si>
    <t>SUPN2O*</t>
  </si>
  <si>
    <t>SRVNOX*</t>
  </si>
  <si>
    <t>SUPNOX*</t>
  </si>
  <si>
    <t>SRVPM10*</t>
  </si>
  <si>
    <t>SUPPM10*</t>
  </si>
  <si>
    <t>SRVPM25*</t>
  </si>
  <si>
    <t>SUPPM25*</t>
  </si>
  <si>
    <t>SRVSO2*</t>
  </si>
  <si>
    <t>SUPSO2*</t>
  </si>
  <si>
    <t>SRV*,-*-*</t>
  </si>
  <si>
    <t>SRV-PU_NRGSRV-WS</t>
  </si>
  <si>
    <t>SRV-PU_NRGSRV-LIG</t>
  </si>
  <si>
    <t>SRV-CS_NRGSRV-LIG</t>
  </si>
  <si>
    <t>SRVLIG-CS</t>
  </si>
  <si>
    <t>SRVLIG-PU</t>
  </si>
  <si>
    <t>SRVCK-PU</t>
  </si>
  <si>
    <t>SRVCK-CS</t>
  </si>
  <si>
    <t>SRV-PU_NRGSRV-CK</t>
  </si>
  <si>
    <t>SRV-CS_NRGSRV-CK</t>
  </si>
  <si>
    <t>SRVOEL-PU</t>
  </si>
  <si>
    <t>SRVOEL-CS</t>
  </si>
  <si>
    <t>SRV-PU_NRGSRV-OEL</t>
  </si>
  <si>
    <t>SRV-CS_NRGSRV-OEL</t>
  </si>
  <si>
    <t>SRVREF-PU</t>
  </si>
  <si>
    <t>SRV-PU_NRGSRV-REF</t>
  </si>
  <si>
    <t>SRVREF-CS</t>
  </si>
  <si>
    <t>SRV-CS_NRGSRV-REF</t>
  </si>
  <si>
    <t>SRV-CS_NRGSRV-WS</t>
  </si>
  <si>
    <t>SRVSC-PU,SRVSH-PU,SRVWH-PU</t>
  </si>
  <si>
    <t>SRVSC-CS,SRVSH-CS,SRVWH-CS</t>
  </si>
  <si>
    <t>Public Services - Refrigeration</t>
  </si>
  <si>
    <t>Commercial Services - Refrigeration</t>
  </si>
  <si>
    <t>Public Services - Cooking</t>
  </si>
  <si>
    <t>Commercial Services - Cooking</t>
  </si>
  <si>
    <t>Public Services - Other Appliances</t>
  </si>
  <si>
    <t>Commercial Services - Other Appliances</t>
  </si>
  <si>
    <t>Public Services - Building Lighting</t>
  </si>
  <si>
    <t>Commercial Services - Building Lighting</t>
  </si>
  <si>
    <t>Public Services - Water heating and space heating and cooling</t>
  </si>
  <si>
    <t>Commercial Services - Water heating and space heating and cooling</t>
  </si>
  <si>
    <t>SRVDCE-CS</t>
  </si>
  <si>
    <t>Commercial Services - Data Centres</t>
  </si>
  <si>
    <t>SRVPLIG-PU</t>
  </si>
  <si>
    <t>DMD_SRV-CS_DC</t>
  </si>
  <si>
    <t>DMD_SRV-PU_PLIG</t>
  </si>
  <si>
    <t>Public Services - Public Lighting</t>
  </si>
  <si>
    <t>SRVM2-CS</t>
  </si>
  <si>
    <t>SRVM2-PU</t>
  </si>
  <si>
    <t>DMD_SRV-CS_M2</t>
  </si>
  <si>
    <t>DMD_SRV-PU_M2</t>
  </si>
  <si>
    <t>Public Services - All Except Public Lighting</t>
  </si>
  <si>
    <t>Commercial Services - All Except Data Centers</t>
  </si>
  <si>
    <t>SRV_CS-DC-EH-HP</t>
  </si>
  <si>
    <t>SRVHET-LT</t>
  </si>
  <si>
    <t>Commercial Services - DC Excess Heat - Heat Pumps</t>
  </si>
  <si>
    <t>SRVAHT</t>
  </si>
  <si>
    <t>S*PU*</t>
  </si>
  <si>
    <t>SRV_PU-HP</t>
  </si>
  <si>
    <t>S*CS*</t>
  </si>
  <si>
    <t>SRV_CS-HP</t>
  </si>
  <si>
    <t>Public Services - Heat Pumps</t>
  </si>
  <si>
    <t>Commercial Services - Heat Pumps</t>
  </si>
  <si>
    <t>PRC_AGR</t>
  </si>
  <si>
    <t>PRC_SRV</t>
  </si>
  <si>
    <t>PRC_IND</t>
  </si>
  <si>
    <t>PRC_PWR</t>
  </si>
  <si>
    <t>PRC_RSD</t>
  </si>
  <si>
    <t>PRC_SUP</t>
  </si>
  <si>
    <t>PRC_TRA</t>
  </si>
  <si>
    <t>All AGR processes</t>
  </si>
  <si>
    <t>All SRV processes</t>
  </si>
  <si>
    <t>All IND processes</t>
  </si>
  <si>
    <t>All PWR processes</t>
  </si>
  <si>
    <t>All RSD processes</t>
  </si>
  <si>
    <t>All SUP processes</t>
  </si>
  <si>
    <t>All TRA processes</t>
  </si>
  <si>
    <t>R*,FT-RSD*</t>
  </si>
  <si>
    <t>P*,FT-PWR*,*GRID*</t>
  </si>
  <si>
    <t>S-*,FT-SRV*</t>
  </si>
  <si>
    <t>T*,FT-TRA*</t>
  </si>
  <si>
    <t>A*,*AGR*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</si>
  <si>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</si>
  <si>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</si>
  <si>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</si>
  <si>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</si>
  <si>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</si>
  <si>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</si>
  <si>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</si>
  <si>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</si>
  <si>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</si>
  <si>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</si>
  <si>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</si>
  <si>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</si>
  <si>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Set Rules</t>
  </si>
  <si>
    <t>All sectors</t>
  </si>
  <si>
    <t>Specifies aggrigation rules for user-defined sets</t>
  </si>
  <si>
    <t>Olexandr Balyk (UCC, olexandr.balyk@ucc.ie)</t>
  </si>
  <si>
    <t>And</t>
  </si>
  <si>
    <t>Or</t>
  </si>
  <si>
    <t>ICEM</t>
  </si>
  <si>
    <t>Cement</t>
  </si>
  <si>
    <t>ICAF</t>
  </si>
  <si>
    <t>Chemicals</t>
  </si>
  <si>
    <t>IFAP</t>
  </si>
  <si>
    <t>Food and Drink</t>
  </si>
  <si>
    <t>ILIM</t>
  </si>
  <si>
    <t>Lime</t>
  </si>
  <si>
    <t>IMAP</t>
  </si>
  <si>
    <t>Metals</t>
  </si>
  <si>
    <t>IOMA</t>
  </si>
  <si>
    <t>Other Industry</t>
  </si>
  <si>
    <t>IONM</t>
  </si>
  <si>
    <t>Other Minerals</t>
  </si>
  <si>
    <t>IWAP</t>
  </si>
  <si>
    <t>Wood Products</t>
  </si>
  <si>
    <t>IELC</t>
  </si>
  <si>
    <t>Electricity</t>
  </si>
  <si>
    <t>IOIL</t>
  </si>
  <si>
    <t>Oil use</t>
  </si>
  <si>
    <t>*HTH</t>
  </si>
  <si>
    <t>*MTH</t>
  </si>
  <si>
    <t>*LTH</t>
  </si>
  <si>
    <t>IND_HIGHHEAT</t>
  </si>
  <si>
    <t>IND_MEDHEAT</t>
  </si>
  <si>
    <t>IND_LOWHEAT</t>
  </si>
  <si>
    <t>Industry high temperature heat</t>
  </si>
  <si>
    <t>Industry medium temperature heat</t>
  </si>
  <si>
    <t>Industry low/mediuum temperature heat</t>
  </si>
  <si>
    <t>*het,-RSD*,-SRV*,-AGR*</t>
  </si>
  <si>
    <t>IND_SPHEAT</t>
  </si>
  <si>
    <t>Industry low temperature heat</t>
  </si>
  <si>
    <t>I*,FT-IND*,-IMP*Z</t>
  </si>
  <si>
    <t>S*,FT-SUP*,IMP*,EXP*,MIN*,-S-*,,-IMP*Z</t>
  </si>
  <si>
    <t>RSD_BLD-ATT-HP</t>
  </si>
  <si>
    <t>RSD_BLD-ATT-ELC</t>
  </si>
  <si>
    <t>RSD_BLD-ATT-GAS</t>
  </si>
  <si>
    <t>RSD_BLD-ATT-OTH</t>
  </si>
  <si>
    <t>RSD_BLD-APT-HP</t>
  </si>
  <si>
    <t>RSD_BLD-APT-ELC</t>
  </si>
  <si>
    <t>RSD_BLD-APT-GAS</t>
  </si>
  <si>
    <t>RSD_BLD-APT-OTH</t>
  </si>
  <si>
    <t>RSD_BLD-DET-HP</t>
  </si>
  <si>
    <t>RSD_BLD-DET-ELC</t>
  </si>
  <si>
    <t>RSD_BLD-DET-GAS</t>
  </si>
  <si>
    <t>RSD_BLD-DET-OTH</t>
  </si>
  <si>
    <t>Residential - Attached - Heat pumps</t>
  </si>
  <si>
    <t>Residential - Detached - Heat pumps</t>
  </si>
  <si>
    <t>Residential - Attached - Electric</t>
  </si>
  <si>
    <t>Residential - Attached - Gas</t>
  </si>
  <si>
    <t>Residential - Attached - Other</t>
  </si>
  <si>
    <t>Residential - Apartments - Heat pumps</t>
  </si>
  <si>
    <t>Residential - Apartments - Electric</t>
  </si>
  <si>
    <t>Residential - Apartments - Gas</t>
  </si>
  <si>
    <t>Residential - Apartments - Other</t>
  </si>
  <si>
    <t>Residential - Detached - Electric</t>
  </si>
  <si>
    <t>Residential - Detached - Gas</t>
  </si>
  <si>
    <t>Residential - Detached - Other</t>
  </si>
  <si>
    <t>R*ATT*HPN*</t>
  </si>
  <si>
    <t>R*DET*HPN*</t>
  </si>
  <si>
    <t>R*SH*ATT*GAS*,R*SW*ATT*GAS*</t>
  </si>
  <si>
    <t>R*SH*DET*GAS*,R*SW*DET*GAS*</t>
  </si>
  <si>
    <t>R*SH*ATT*,R*SW*ATT*</t>
  </si>
  <si>
    <t>R*APT*HPN*</t>
  </si>
  <si>
    <t>R*SH*APT*GAS*,R*SW*APT*GAS*</t>
  </si>
  <si>
    <t>R*SH*APT*,R*SW*APT*</t>
  </si>
  <si>
    <t>R*SH*DET*,R*SW*DET*</t>
  </si>
  <si>
    <t>R*SH*ATT*ELC*,-R*HPN*</t>
  </si>
  <si>
    <t>R*SH*APT*ELC*,-R*HPN*</t>
  </si>
  <si>
    <t>R*SH*DET*ELC*,-R*HPN*</t>
  </si>
  <si>
    <t>P*STG*BA*</t>
  </si>
  <si>
    <t>P*STG*PS*</t>
  </si>
  <si>
    <t>STR-BAT</t>
  </si>
  <si>
    <t>STR-PH</t>
  </si>
  <si>
    <t>Electricity Storage -  Batteries</t>
  </si>
  <si>
    <t>Electricity Storage -  Pumped hydro</t>
  </si>
  <si>
    <t>*H2*STG*</t>
  </si>
  <si>
    <t>STR-H2</t>
  </si>
  <si>
    <t>Hydrogen Storage - underground</t>
  </si>
  <si>
    <t>I-*-BLR-*</t>
  </si>
  <si>
    <t>UNIT_IND-BLR</t>
  </si>
  <si>
    <t>Industry - Boilers</t>
  </si>
  <si>
    <t>I-*-CHP-*</t>
  </si>
  <si>
    <t>UNIT_IND-CHP</t>
  </si>
  <si>
    <t>Industry - CHP units</t>
  </si>
  <si>
    <t>I-*-DRR-*</t>
  </si>
  <si>
    <t>UNIT_IND-DRR</t>
  </si>
  <si>
    <t>Industry - Dryers</t>
  </si>
  <si>
    <t>I-*-FRN-*</t>
  </si>
  <si>
    <t>UNIT_IND-FRN</t>
  </si>
  <si>
    <t>Industry - Furnaces</t>
  </si>
  <si>
    <t>I-*-KLN-*</t>
  </si>
  <si>
    <t>UNIT_IND-KLN</t>
  </si>
  <si>
    <t>Industry - Kilns</t>
  </si>
  <si>
    <t>I-*-OKL-*</t>
  </si>
  <si>
    <t>UNIT_IND-OKL</t>
  </si>
  <si>
    <t>Industry - Other kilns</t>
  </si>
  <si>
    <t>I-*-OVN-*</t>
  </si>
  <si>
    <t>UNIT_IND-OVN</t>
  </si>
  <si>
    <t>Industry - Ovens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</si>
</sst>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_-;\-* #,##0_-;_-* &quot;-&quot;_-;_-@_-"/>
    <numFmt numFmtId="165" formatCode="_-* #,##0.00_-;\-* #,##0.00_-;_-* &quot;-&quot;??_-;_-@_-"/>
    <numFmt numFmtId="166" formatCode="0.0"/>
    <numFmt numFmtId="167" formatCode="0.0%"/>
    <numFmt numFmtId="168" formatCode="&quot;$&quot;#,##0_);\(&quot;$&quot;#,##0\)"/>
    <numFmt numFmtId="169" formatCode="_-&quot;$&quot;* #,##0.00_-;\-&quot;$&quot;* #,##0.00_-;_-&quot;$&quot;* &quot;-&quot;??_-;_-@_-"/>
    <numFmt numFmtId="170" formatCode="_([$€]* #,##0.00_);_([$€]* \(#,##0.00\);_([$€]* &quot;-&quot;??_);_(@_)"/>
    <numFmt numFmtId="171" formatCode="_([$€-2]* #,##0.00_);_([$€-2]* \(#,##0.00\);_([$€-2]* &quot;-&quot;??_)"/>
    <numFmt numFmtId="172" formatCode="General_)"/>
  </numFmts>
  <fonts count="3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2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237037263100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237037263100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MS Sans Serif"/>
      <family val="2"/>
    </font>
    <font>
      <sz val="9"/>
      <name val="Genev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11"/>
      <color indexed="19"/>
      <name val="Calibri"/>
      <family val="2"/>
    </font>
    <font>
      <sz val="8"/>
      <name val="Helv"/>
      <family val="2"/>
    </font>
    <font>
      <sz val="10"/>
      <name val="Courier"/>
      <family val="3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u/>
      <sz val="12"/>
      <color indexed="20"/>
      <name val="宋体"/>
      <family val="2"/>
      <charset val="134"/>
    </font>
    <font>
      <sz val="11"/>
      <name val="Arial"/>
      <family val="2"/>
    </font>
    <font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3743705557422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</borders>
  <cellStyleXfs count="1627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165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2" fillId="0" borderId="0"/>
    <xf numFmtId="0" fontId="12" fillId="0" borderId="0"/>
    <xf numFmtId="9" fontId="12" fillId="0" borderId="0" applyFont="0" applyFill="0" applyBorder="0" applyAlignment="0" applyProtection="0"/>
    <xf numFmtId="0" fontId="33" fillId="0" borderId="0"/>
    <xf numFmtId="0" fontId="33" fillId="0" borderId="0"/>
    <xf numFmtId="0" fontId="2" fillId="0" borderId="0"/>
    <xf numFmtId="0" fontId="2" fillId="0" borderId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1" applyNumberFormat="0" applyAlignment="0" applyProtection="0"/>
    <xf numFmtId="0" fontId="16" fillId="16" borderId="1" applyNumberFormat="0" applyAlignment="0" applyProtection="0"/>
    <xf numFmtId="0" fontId="16" fillId="16" borderId="1" applyNumberFormat="0" applyAlignment="0" applyProtection="0"/>
    <xf numFmtId="0" fontId="16" fillId="16" borderId="1" applyNumberFormat="0" applyAlignment="0" applyProtection="0"/>
    <xf numFmtId="0" fontId="16" fillId="16" borderId="1" applyNumberFormat="0" applyAlignment="0" applyProtection="0"/>
    <xf numFmtId="0" fontId="16" fillId="16" borderId="1" applyNumberFormat="0" applyAlignment="0" applyProtection="0"/>
    <xf numFmtId="0" fontId="16" fillId="16" borderId="1" applyNumberFormat="0" applyAlignment="0" applyProtection="0"/>
    <xf numFmtId="0" fontId="16" fillId="16" borderId="1" applyNumberFormat="0" applyAlignment="0" applyProtection="0"/>
    <xf numFmtId="0" fontId="16" fillId="16" borderId="1" applyNumberFormat="0" applyAlignment="0" applyProtection="0"/>
    <xf numFmtId="0" fontId="16" fillId="16" borderId="1" applyNumberFormat="0" applyAlignment="0" applyProtection="0"/>
    <xf numFmtId="0" fontId="17" fillId="17" borderId="2" applyNumberFormat="0" applyAlignment="0" applyProtection="0"/>
    <xf numFmtId="0" fontId="17" fillId="17" borderId="2" applyNumberFormat="0" applyAlignment="0" applyProtection="0"/>
    <xf numFmtId="0" fontId="17" fillId="17" borderId="2" applyNumberFormat="0" applyAlignment="0" applyProtection="0"/>
    <xf numFmtId="0" fontId="17" fillId="17" borderId="2" applyNumberFormat="0" applyAlignment="0" applyProtection="0"/>
    <xf numFmtId="0" fontId="17" fillId="17" borderId="2" applyNumberFormat="0" applyAlignment="0" applyProtection="0"/>
    <xf numFmtId="0" fontId="17" fillId="17" borderId="2" applyNumberFormat="0" applyAlignment="0" applyProtection="0"/>
    <xf numFmtId="0" fontId="17" fillId="17" borderId="2" applyNumberFormat="0" applyAlignment="0" applyProtection="0"/>
    <xf numFmtId="0" fontId="17" fillId="17" borderId="2" applyNumberFormat="0" applyAlignment="0" applyProtection="0"/>
    <xf numFmtId="0" fontId="17" fillId="17" borderId="2" applyNumberFormat="0" applyAlignment="0" applyProtection="0"/>
    <xf numFmtId="0" fontId="17" fillId="17" borderId="2" applyNumberFormat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0" fontId="1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0" fontId="1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9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1" fillId="0" borderId="4" applyNumberFormat="0" applyFill="0" applyAlignment="0" applyProtection="0"/>
    <xf numFmtId="0" fontId="21" fillId="0" borderId="4" applyNumberFormat="0" applyFill="0" applyAlignment="0" applyProtection="0"/>
    <xf numFmtId="0" fontId="21" fillId="0" borderId="4" applyNumberFormat="0" applyFill="0" applyAlignment="0" applyProtection="0"/>
    <xf numFmtId="0" fontId="21" fillId="0" borderId="4" applyNumberFormat="0" applyFill="0" applyAlignment="0" applyProtection="0"/>
    <xf numFmtId="0" fontId="21" fillId="0" borderId="4" applyNumberFormat="0" applyFill="0" applyAlignment="0" applyProtection="0"/>
    <xf numFmtId="0" fontId="21" fillId="0" borderId="4" applyNumberFormat="0" applyFill="0" applyAlignment="0" applyProtection="0"/>
    <xf numFmtId="0" fontId="21" fillId="0" borderId="4" applyNumberFormat="0" applyFill="0" applyAlignment="0" applyProtection="0"/>
    <xf numFmtId="0" fontId="21" fillId="0" borderId="4" applyNumberFormat="0" applyFill="0" applyAlignment="0" applyProtection="0"/>
    <xf numFmtId="0" fontId="21" fillId="0" borderId="4" applyNumberFormat="0" applyFill="0" applyAlignment="0" applyProtection="0"/>
    <xf numFmtId="0" fontId="21" fillId="0" borderId="4" applyNumberFormat="0" applyFill="0" applyAlignment="0" applyProtection="0"/>
    <xf numFmtId="0" fontId="22" fillId="0" borderId="5" applyNumberFormat="0" applyFill="0" applyAlignment="0" applyProtection="0"/>
    <xf numFmtId="0" fontId="22" fillId="0" borderId="5" applyNumberFormat="0" applyFill="0" applyAlignment="0" applyProtection="0"/>
    <xf numFmtId="0" fontId="22" fillId="0" borderId="5" applyNumberFormat="0" applyFill="0" applyAlignment="0" applyProtection="0"/>
    <xf numFmtId="0" fontId="22" fillId="0" borderId="5" applyNumberFormat="0" applyFill="0" applyAlignment="0" applyProtection="0"/>
    <xf numFmtId="0" fontId="22" fillId="0" borderId="5" applyNumberFormat="0" applyFill="0" applyAlignment="0" applyProtection="0"/>
    <xf numFmtId="0" fontId="22" fillId="0" borderId="5" applyNumberFormat="0" applyFill="0" applyAlignment="0" applyProtection="0"/>
    <xf numFmtId="0" fontId="22" fillId="0" borderId="5" applyNumberFormat="0" applyFill="0" applyAlignment="0" applyProtection="0"/>
    <xf numFmtId="0" fontId="22" fillId="0" borderId="5" applyNumberFormat="0" applyFill="0" applyAlignment="0" applyProtection="0"/>
    <xf numFmtId="0" fontId="22" fillId="0" borderId="5" applyNumberFormat="0" applyFill="0" applyAlignment="0" applyProtection="0"/>
    <xf numFmtId="0" fontId="22" fillId="0" borderId="5" applyNumberFormat="0" applyFill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4" fillId="0" borderId="6" applyNumberFormat="0" applyFill="0" applyAlignment="0" applyProtection="0"/>
    <xf numFmtId="0" fontId="24" fillId="0" borderId="6" applyNumberFormat="0" applyFill="0" applyAlignment="0" applyProtection="0"/>
    <xf numFmtId="0" fontId="24" fillId="0" borderId="6" applyNumberFormat="0" applyFill="0" applyAlignment="0" applyProtection="0"/>
    <xf numFmtId="0" fontId="24" fillId="0" borderId="6" applyNumberFormat="0" applyFill="0" applyAlignment="0" applyProtection="0"/>
    <xf numFmtId="0" fontId="24" fillId="0" borderId="6" applyNumberFormat="0" applyFill="0" applyAlignment="0" applyProtection="0"/>
    <xf numFmtId="0" fontId="24" fillId="0" borderId="6" applyNumberFormat="0" applyFill="0" applyAlignment="0" applyProtection="0"/>
    <xf numFmtId="0" fontId="24" fillId="0" borderId="6" applyNumberFormat="0" applyFill="0" applyAlignment="0" applyProtection="0"/>
    <xf numFmtId="0" fontId="24" fillId="0" borderId="6" applyNumberFormat="0" applyFill="0" applyAlignment="0" applyProtection="0"/>
    <xf numFmtId="0" fontId="24" fillId="0" borderId="6" applyNumberFormat="0" applyFill="0" applyAlignment="0" applyProtection="0"/>
    <xf numFmtId="0" fontId="24" fillId="0" borderId="6" applyNumberFormat="0" applyFill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3" fillId="0" borderId="0"/>
    <xf numFmtId="0" fontId="33" fillId="0" borderId="0"/>
    <xf numFmtId="168" fontId="26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168" fontId="26" fillId="0" borderId="0">
      <alignment vertical="center"/>
    </xf>
    <xf numFmtId="168" fontId="26" fillId="0" borderId="0">
      <alignment vertical="center"/>
    </xf>
    <xf numFmtId="168" fontId="26" fillId="0" borderId="0">
      <alignment vertical="center"/>
    </xf>
    <xf numFmtId="168" fontId="26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68" fontId="26" fillId="0" borderId="0">
      <alignment vertical="center"/>
    </xf>
    <xf numFmtId="168" fontId="26" fillId="0" borderId="0">
      <alignment vertical="center"/>
    </xf>
    <xf numFmtId="168" fontId="26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3" fillId="0" borderId="0"/>
    <xf numFmtId="168" fontId="26" fillId="0" borderId="0">
      <alignment vertical="center"/>
    </xf>
    <xf numFmtId="168" fontId="26" fillId="0" borderId="0">
      <alignment vertical="center"/>
    </xf>
    <xf numFmtId="168" fontId="26" fillId="0" borderId="0">
      <alignment vertical="center"/>
    </xf>
    <xf numFmtId="168" fontId="26" fillId="0" borderId="0">
      <alignment vertical="center"/>
    </xf>
    <xf numFmtId="0" fontId="33" fillId="0" borderId="0"/>
    <xf numFmtId="167" fontId="26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3" fillId="0" borderId="0"/>
    <xf numFmtId="0" fontId="33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6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2" fontId="26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" fillId="4" borderId="7" applyNumberFormat="0" applyFont="0" applyAlignment="0" applyProtection="0"/>
    <xf numFmtId="0" fontId="2" fillId="4" borderId="7" applyNumberFormat="0" applyFont="0" applyAlignment="0" applyProtection="0"/>
    <xf numFmtId="0" fontId="2" fillId="4" borderId="7" applyNumberFormat="0" applyFont="0" applyAlignment="0" applyProtection="0"/>
    <xf numFmtId="0" fontId="2" fillId="4" borderId="7" applyNumberFormat="0" applyFont="0" applyAlignment="0" applyProtection="0"/>
    <xf numFmtId="0" fontId="2" fillId="4" borderId="7" applyNumberFormat="0" applyFont="0" applyAlignment="0" applyProtection="0"/>
    <xf numFmtId="0" fontId="2" fillId="4" borderId="7" applyNumberFormat="0" applyFont="0" applyAlignment="0" applyProtection="0"/>
    <xf numFmtId="0" fontId="2" fillId="4" borderId="7" applyNumberFormat="0" applyFont="0" applyAlignment="0" applyProtection="0"/>
    <xf numFmtId="0" fontId="2" fillId="4" borderId="7" applyNumberFormat="0" applyFont="0" applyAlignment="0" applyProtection="0"/>
    <xf numFmtId="0" fontId="2" fillId="4" borderId="7" applyNumberFormat="0" applyFont="0" applyAlignment="0" applyProtection="0"/>
    <xf numFmtId="0" fontId="2" fillId="4" borderId="7" applyNumberFormat="0" applyFont="0" applyAlignment="0" applyProtection="0"/>
    <xf numFmtId="0" fontId="2" fillId="4" borderId="7" applyNumberFormat="0" applyFont="0" applyAlignment="0" applyProtection="0"/>
    <xf numFmtId="0" fontId="2" fillId="4" borderId="7" applyNumberFormat="0" applyFont="0" applyAlignment="0" applyProtection="0"/>
    <xf numFmtId="0" fontId="2" fillId="4" borderId="7" applyNumberFormat="0" applyFont="0" applyAlignment="0" applyProtection="0"/>
    <xf numFmtId="0" fontId="2" fillId="4" borderId="7" applyNumberFormat="0" applyFont="0" applyAlignment="0" applyProtection="0"/>
    <xf numFmtId="0" fontId="2" fillId="4" borderId="7" applyNumberFormat="0" applyFont="0" applyAlignment="0" applyProtection="0"/>
    <xf numFmtId="0" fontId="2" fillId="4" borderId="7" applyNumberFormat="0" applyFont="0" applyAlignment="0" applyProtection="0"/>
    <xf numFmtId="0" fontId="2" fillId="4" borderId="7" applyNumberFormat="0" applyFont="0" applyAlignment="0" applyProtection="0"/>
    <xf numFmtId="0" fontId="2" fillId="4" borderId="7" applyNumberFormat="0" applyFont="0" applyAlignment="0" applyProtection="0"/>
    <xf numFmtId="0" fontId="2" fillId="4" borderId="7" applyNumberFormat="0" applyFont="0" applyAlignment="0" applyProtection="0"/>
    <xf numFmtId="0" fontId="2" fillId="4" borderId="7" applyNumberFormat="0" applyFont="0" applyAlignment="0" applyProtection="0"/>
    <xf numFmtId="0" fontId="28" fillId="16" borderId="8" applyNumberFormat="0" applyAlignment="0" applyProtection="0"/>
    <xf numFmtId="0" fontId="28" fillId="16" borderId="8" applyNumberFormat="0" applyAlignment="0" applyProtection="0"/>
    <xf numFmtId="0" fontId="28" fillId="16" borderId="8" applyNumberFormat="0" applyAlignment="0" applyProtection="0"/>
    <xf numFmtId="0" fontId="28" fillId="16" borderId="8" applyNumberFormat="0" applyAlignment="0" applyProtection="0"/>
    <xf numFmtId="0" fontId="28" fillId="16" borderId="8" applyNumberFormat="0" applyAlignment="0" applyProtection="0"/>
    <xf numFmtId="0" fontId="28" fillId="16" borderId="8" applyNumberFormat="0" applyAlignment="0" applyProtection="0"/>
    <xf numFmtId="0" fontId="28" fillId="16" borderId="8" applyNumberFormat="0" applyAlignment="0" applyProtection="0"/>
    <xf numFmtId="0" fontId="28" fillId="16" borderId="8" applyNumberFormat="0" applyAlignment="0" applyProtection="0"/>
    <xf numFmtId="0" fontId="28" fillId="16" borderId="8" applyNumberFormat="0" applyAlignment="0" applyProtection="0"/>
    <xf numFmtId="0" fontId="28" fillId="16" borderId="8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9" applyNumberFormat="0" applyFill="0" applyAlignment="0" applyProtection="0"/>
    <xf numFmtId="0" fontId="30" fillId="0" borderId="9" applyNumberFormat="0" applyFill="0" applyAlignment="0" applyProtection="0"/>
    <xf numFmtId="0" fontId="30" fillId="0" borderId="9" applyNumberFormat="0" applyFill="0" applyAlignment="0" applyProtection="0"/>
    <xf numFmtId="0" fontId="30" fillId="0" borderId="9" applyNumberFormat="0" applyFill="0" applyAlignment="0" applyProtection="0"/>
    <xf numFmtId="0" fontId="30" fillId="0" borderId="9" applyNumberFormat="0" applyFill="0" applyAlignment="0" applyProtection="0"/>
    <xf numFmtId="0" fontId="30" fillId="0" borderId="9" applyNumberFormat="0" applyFill="0" applyAlignment="0" applyProtection="0"/>
    <xf numFmtId="0" fontId="30" fillId="0" borderId="9" applyNumberFormat="0" applyFill="0" applyAlignment="0" applyProtection="0"/>
    <xf numFmtId="0" fontId="30" fillId="0" borderId="9" applyNumberFormat="0" applyFill="0" applyAlignment="0" applyProtection="0"/>
    <xf numFmtId="0" fontId="30" fillId="0" borderId="9" applyNumberFormat="0" applyFill="0" applyAlignment="0" applyProtection="0"/>
    <xf numFmtId="0" fontId="30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Protection="0"/>
    <xf numFmtId="0" fontId="32" fillId="0" borderId="0"/>
    <xf numFmtId="0" fontId="32" fillId="0" borderId="0"/>
    <xf numFmtId="0" fontId="2" fillId="0" borderId="0"/>
    <xf numFmtId="0" fontId="2" fillId="0" borderId="0"/>
  </cellStyleXfs>
  <cellXfs count="20">
    <xf numFmtId="0" fontId="0" fillId="0" borderId="0" xfId="0"/>
    <xf numFmtId="0" fontId="1" fillId="18" borderId="0" xfId="1" applyFill="1" applyAlignment="1">
      <alignment vertical="center"/>
    </xf>
    <xf numFmtId="0" fontId="7" fillId="18" borderId="0" xfId="2" applyFont="1" applyFill="1" applyAlignment="1">
      <alignment vertical="center"/>
    </xf>
    <xf numFmtId="0" fontId="0" fillId="0" borderId="0" xfId="0" quotePrefix="1"/>
    <xf numFmtId="0" fontId="0" fillId="18" borderId="0" xfId="2" applyFont="1" applyFill="1" applyAlignment="1">
      <alignment vertical="center"/>
    </xf>
    <xf numFmtId="0" fontId="0" fillId="19" borderId="0" xfId="2" applyFont="1" applyFill="1" applyAlignment="1">
      <alignment vertical="center"/>
    </xf>
    <xf numFmtId="0" fontId="3" fillId="19" borderId="0" xfId="2" applyFont="1" applyFill="1" applyAlignment="1">
      <alignment vertical="center"/>
    </xf>
    <xf numFmtId="0" fontId="1" fillId="19" borderId="0" xfId="2" applyFont="1" applyFill="1" applyAlignment="1">
      <alignment vertical="center"/>
    </xf>
    <xf numFmtId="0" fontId="0" fillId="16" borderId="0" xfId="2" applyFont="1" applyFill="1" applyAlignment="1">
      <alignment vertical="center"/>
    </xf>
    <xf numFmtId="0" fontId="4" fillId="19" borderId="0" xfId="2" applyFont="1" applyFill="1" applyAlignment="1">
      <alignment vertical="center"/>
    </xf>
    <xf numFmtId="0" fontId="5" fillId="19" borderId="0" xfId="2" applyFont="1" applyFill="1" applyAlignment="1">
      <alignment vertical="center"/>
    </xf>
    <xf numFmtId="0" fontId="6" fillId="18" borderId="0" xfId="2" applyFont="1" applyFill="1" applyAlignment="1">
      <alignment vertical="center"/>
    </xf>
    <xf numFmtId="0" fontId="7" fillId="19" borderId="0" xfId="2" applyFont="1" applyFill="1" applyAlignment="1">
      <alignment vertical="center"/>
    </xf>
    <xf numFmtId="0" fontId="8" fillId="19" borderId="0" xfId="2" applyFont="1" applyFill="1" applyAlignment="1">
      <alignment vertical="center"/>
    </xf>
    <xf numFmtId="166" fontId="7" fillId="18" borderId="0" xfId="2" applyNumberFormat="1" applyFont="1" applyFill="1" applyAlignment="1">
      <alignment horizontal="left" vertical="center"/>
    </xf>
    <xf numFmtId="0" fontId="9" fillId="19" borderId="0" xfId="2" applyFont="1" applyFill="1" applyAlignment="1">
      <alignment vertical="center"/>
    </xf>
    <xf numFmtId="0" fontId="10" fillId="18" borderId="0" xfId="2" applyFont="1" applyFill="1" applyAlignment="1">
      <alignment vertical="center"/>
    </xf>
    <xf numFmtId="0" fontId="7" fillId="18" borderId="0" xfId="2" applyFont="1" applyFill="1" applyAlignment="1">
      <alignment vertical="center"/>
    </xf>
    <xf numFmtId="0" fontId="3" fillId="18" borderId="0" xfId="2" applyFont="1" applyFill="1" applyAlignment="1">
      <alignment horizontal="center" vertical="center"/>
    </xf>
    <xf numFmtId="0" fontId="1" fillId="18" borderId="0" xfId="1" applyFill="1" applyAlignment="1">
      <alignment vertical="center"/>
    </xf>
  </cellXfs>
  <cellStyles count="1627">
    <cellStyle name="20% - Accent1 2 10" xfId="12" xr:uid="{00000000-0005-0000-0000-000011000000}"/>
    <cellStyle name="20% - Accent1 2 11" xfId="13" xr:uid="{00000000-0005-0000-0000-000012000000}"/>
    <cellStyle name="20% - Accent1 2 12" xfId="14" xr:uid="{00000000-0005-0000-0000-000013000000}"/>
    <cellStyle name="20% - Accent1 2 13" xfId="15" xr:uid="{00000000-0005-0000-0000-000014000000}"/>
    <cellStyle name="20% - Accent1 2 14" xfId="16" xr:uid="{00000000-0005-0000-0000-000015000000}"/>
    <cellStyle name="20% - Accent1 2 15" xfId="17" xr:uid="{00000000-0005-0000-0000-000016000000}"/>
    <cellStyle name="20% - Accent1 2 2" xfId="18" xr:uid="{00000000-0005-0000-0000-000017000000}"/>
    <cellStyle name="20% - Accent1 2 3" xfId="19" xr:uid="{00000000-0005-0000-0000-000018000000}"/>
    <cellStyle name="20% - Accent1 2 4" xfId="20" xr:uid="{00000000-0005-0000-0000-000019000000}"/>
    <cellStyle name="20% - Accent1 2 5" xfId="21" xr:uid="{00000000-0005-0000-0000-00001A000000}"/>
    <cellStyle name="20% - Accent1 2 6" xfId="22" xr:uid="{00000000-0005-0000-0000-00001B000000}"/>
    <cellStyle name="20% - Accent1 2 7" xfId="23" xr:uid="{00000000-0005-0000-0000-00001C000000}"/>
    <cellStyle name="20% - Accent1 2 8" xfId="24" xr:uid="{00000000-0005-0000-0000-00001D000000}"/>
    <cellStyle name="20% - Accent1 2 9" xfId="25" xr:uid="{00000000-0005-0000-0000-00001E000000}"/>
    <cellStyle name="20% - Accent1 3" xfId="26" xr:uid="{00000000-0005-0000-0000-00001F000000}"/>
    <cellStyle name="20% - Accent1 4" xfId="27" xr:uid="{00000000-0005-0000-0000-000020000000}"/>
    <cellStyle name="20% - Accent1 5" xfId="28" xr:uid="{00000000-0005-0000-0000-000021000000}"/>
    <cellStyle name="20% - Accent1 6" xfId="29" xr:uid="{00000000-0005-0000-0000-000022000000}"/>
    <cellStyle name="20% - Accent1 7" xfId="30" xr:uid="{00000000-0005-0000-0000-000023000000}"/>
    <cellStyle name="20% - Accent1 8" xfId="31" xr:uid="{00000000-0005-0000-0000-000024000000}"/>
    <cellStyle name="20% - Accent2 2 10" xfId="32" xr:uid="{00000000-0005-0000-0000-000025000000}"/>
    <cellStyle name="20% - Accent2 2 11" xfId="33" xr:uid="{00000000-0005-0000-0000-000026000000}"/>
    <cellStyle name="20% - Accent2 2 12" xfId="34" xr:uid="{00000000-0005-0000-0000-000027000000}"/>
    <cellStyle name="20% - Accent2 2 13" xfId="35" xr:uid="{00000000-0005-0000-0000-000028000000}"/>
    <cellStyle name="20% - Accent2 2 14" xfId="36" xr:uid="{00000000-0005-0000-0000-000029000000}"/>
    <cellStyle name="20% - Accent2 2 15" xfId="37" xr:uid="{00000000-0005-0000-0000-00002A000000}"/>
    <cellStyle name="20% - Accent2 2 2" xfId="38" xr:uid="{00000000-0005-0000-0000-00002B000000}"/>
    <cellStyle name="20% - Accent2 2 3" xfId="39" xr:uid="{00000000-0005-0000-0000-00002C000000}"/>
    <cellStyle name="20% - Accent2 2 4" xfId="40" xr:uid="{00000000-0005-0000-0000-00002D000000}"/>
    <cellStyle name="20% - Accent2 2 5" xfId="41" xr:uid="{00000000-0005-0000-0000-00002E000000}"/>
    <cellStyle name="20% - Accent2 2 6" xfId="42" xr:uid="{00000000-0005-0000-0000-00002F000000}"/>
    <cellStyle name="20% - Accent2 2 7" xfId="43" xr:uid="{00000000-0005-0000-0000-000030000000}"/>
    <cellStyle name="20% - Accent2 2 8" xfId="44" xr:uid="{00000000-0005-0000-0000-000031000000}"/>
    <cellStyle name="20% - Accent2 2 9" xfId="45" xr:uid="{00000000-0005-0000-0000-000032000000}"/>
    <cellStyle name="20% - Accent2 3" xfId="46" xr:uid="{00000000-0005-0000-0000-000033000000}"/>
    <cellStyle name="20% - Accent2 4" xfId="47" xr:uid="{00000000-0005-0000-0000-000034000000}"/>
    <cellStyle name="20% - Accent2 5" xfId="48" xr:uid="{00000000-0005-0000-0000-000035000000}"/>
    <cellStyle name="20% - Accent2 6" xfId="49" xr:uid="{00000000-0005-0000-0000-000036000000}"/>
    <cellStyle name="20% - Accent2 7" xfId="50" xr:uid="{00000000-0005-0000-0000-000037000000}"/>
    <cellStyle name="20% - Accent2 8" xfId="51" xr:uid="{00000000-0005-0000-0000-000038000000}"/>
    <cellStyle name="20% - Accent3 2 10" xfId="52" xr:uid="{00000000-0005-0000-0000-000039000000}"/>
    <cellStyle name="20% - Accent3 2 11" xfId="53" xr:uid="{00000000-0005-0000-0000-00003A000000}"/>
    <cellStyle name="20% - Accent3 2 12" xfId="54" xr:uid="{00000000-0005-0000-0000-00003B000000}"/>
    <cellStyle name="20% - Accent3 2 13" xfId="55" xr:uid="{00000000-0005-0000-0000-00003C000000}"/>
    <cellStyle name="20% - Accent3 2 14" xfId="56" xr:uid="{00000000-0005-0000-0000-00003D000000}"/>
    <cellStyle name="20% - Accent3 2 15" xfId="57" xr:uid="{00000000-0005-0000-0000-00003E000000}"/>
    <cellStyle name="20% - Accent3 2 2" xfId="58" xr:uid="{00000000-0005-0000-0000-00003F000000}"/>
    <cellStyle name="20% - Accent3 2 3" xfId="59" xr:uid="{00000000-0005-0000-0000-000040000000}"/>
    <cellStyle name="20% - Accent3 2 4" xfId="60" xr:uid="{00000000-0005-0000-0000-000041000000}"/>
    <cellStyle name="20% - Accent3 2 5" xfId="61" xr:uid="{00000000-0005-0000-0000-000042000000}"/>
    <cellStyle name="20% - Accent3 2 6" xfId="62" xr:uid="{00000000-0005-0000-0000-000043000000}"/>
    <cellStyle name="20% - Accent3 2 7" xfId="63" xr:uid="{00000000-0005-0000-0000-000044000000}"/>
    <cellStyle name="20% - Accent3 2 8" xfId="64" xr:uid="{00000000-0005-0000-0000-000045000000}"/>
    <cellStyle name="20% - Accent3 2 9" xfId="65" xr:uid="{00000000-0005-0000-0000-000046000000}"/>
    <cellStyle name="20% - Accent3 3" xfId="66" xr:uid="{00000000-0005-0000-0000-000047000000}"/>
    <cellStyle name="20% - Accent3 4" xfId="67" xr:uid="{00000000-0005-0000-0000-000048000000}"/>
    <cellStyle name="20% - Accent3 5" xfId="68" xr:uid="{00000000-0005-0000-0000-000049000000}"/>
    <cellStyle name="20% - Accent3 6" xfId="69" xr:uid="{00000000-0005-0000-0000-00004A000000}"/>
    <cellStyle name="20% - Accent3 7" xfId="70" xr:uid="{00000000-0005-0000-0000-00004B000000}"/>
    <cellStyle name="20% - Accent3 8" xfId="71" xr:uid="{00000000-0005-0000-0000-00004C000000}"/>
    <cellStyle name="20% - Accent4 2 10" xfId="72" xr:uid="{00000000-0005-0000-0000-00004D000000}"/>
    <cellStyle name="20% - Accent4 2 11" xfId="73" xr:uid="{00000000-0005-0000-0000-00004E000000}"/>
    <cellStyle name="20% - Accent4 2 12" xfId="74" xr:uid="{00000000-0005-0000-0000-00004F000000}"/>
    <cellStyle name="20% - Accent4 2 13" xfId="75" xr:uid="{00000000-0005-0000-0000-000050000000}"/>
    <cellStyle name="20% - Accent4 2 14" xfId="76" xr:uid="{00000000-0005-0000-0000-000051000000}"/>
    <cellStyle name="20% - Accent4 2 15" xfId="77" xr:uid="{00000000-0005-0000-0000-000052000000}"/>
    <cellStyle name="20% - Accent4 2 2" xfId="78" xr:uid="{00000000-0005-0000-0000-000053000000}"/>
    <cellStyle name="20% - Accent4 2 3" xfId="79" xr:uid="{00000000-0005-0000-0000-000054000000}"/>
    <cellStyle name="20% - Accent4 2 4" xfId="80" xr:uid="{00000000-0005-0000-0000-000055000000}"/>
    <cellStyle name="20% - Accent4 2 5" xfId="81" xr:uid="{00000000-0005-0000-0000-000056000000}"/>
    <cellStyle name="20% - Accent4 2 6" xfId="82" xr:uid="{00000000-0005-0000-0000-000057000000}"/>
    <cellStyle name="20% - Accent4 2 7" xfId="83" xr:uid="{00000000-0005-0000-0000-000058000000}"/>
    <cellStyle name="20% - Accent4 2 8" xfId="84" xr:uid="{00000000-0005-0000-0000-000059000000}"/>
    <cellStyle name="20% - Accent4 2 9" xfId="85" xr:uid="{00000000-0005-0000-0000-00005A000000}"/>
    <cellStyle name="20% - Accent4 3" xfId="86" xr:uid="{00000000-0005-0000-0000-00005B000000}"/>
    <cellStyle name="20% - Accent4 4" xfId="87" xr:uid="{00000000-0005-0000-0000-00005C000000}"/>
    <cellStyle name="20% - Accent4 5" xfId="88" xr:uid="{00000000-0005-0000-0000-00005D000000}"/>
    <cellStyle name="20% - Accent4 6" xfId="89" xr:uid="{00000000-0005-0000-0000-00005E000000}"/>
    <cellStyle name="20% - Accent4 7" xfId="90" xr:uid="{00000000-0005-0000-0000-00005F000000}"/>
    <cellStyle name="20% - Accent4 8" xfId="91" xr:uid="{00000000-0005-0000-0000-000060000000}"/>
    <cellStyle name="20% - Accent5 2 10" xfId="92" xr:uid="{00000000-0005-0000-0000-000061000000}"/>
    <cellStyle name="20% - Accent5 2 11" xfId="93" xr:uid="{00000000-0005-0000-0000-000062000000}"/>
    <cellStyle name="20% - Accent5 2 12" xfId="94" xr:uid="{00000000-0005-0000-0000-000063000000}"/>
    <cellStyle name="20% - Accent5 2 13" xfId="95" xr:uid="{00000000-0005-0000-0000-000064000000}"/>
    <cellStyle name="20% - Accent5 2 14" xfId="96" xr:uid="{00000000-0005-0000-0000-000065000000}"/>
    <cellStyle name="20% - Accent5 2 15" xfId="97" xr:uid="{00000000-0005-0000-0000-000066000000}"/>
    <cellStyle name="20% - Accent5 2 2" xfId="98" xr:uid="{00000000-0005-0000-0000-000067000000}"/>
    <cellStyle name="20% - Accent5 2 3" xfId="99" xr:uid="{00000000-0005-0000-0000-000068000000}"/>
    <cellStyle name="20% - Accent5 2 4" xfId="100" xr:uid="{00000000-0005-0000-0000-000069000000}"/>
    <cellStyle name="20% - Accent5 2 5" xfId="101" xr:uid="{00000000-0005-0000-0000-00006A000000}"/>
    <cellStyle name="20% - Accent5 2 6" xfId="102" xr:uid="{00000000-0005-0000-0000-00006B000000}"/>
    <cellStyle name="20% - Accent5 2 7" xfId="103" xr:uid="{00000000-0005-0000-0000-00006C000000}"/>
    <cellStyle name="20% - Accent5 2 8" xfId="104" xr:uid="{00000000-0005-0000-0000-00006D000000}"/>
    <cellStyle name="20% - Accent5 2 9" xfId="105" xr:uid="{00000000-0005-0000-0000-00006E000000}"/>
    <cellStyle name="20% - Accent5 3" xfId="106" xr:uid="{00000000-0005-0000-0000-00006F000000}"/>
    <cellStyle name="20% - Accent5 4" xfId="107" xr:uid="{00000000-0005-0000-0000-000070000000}"/>
    <cellStyle name="20% - Accent5 5" xfId="108" xr:uid="{00000000-0005-0000-0000-000071000000}"/>
    <cellStyle name="20% - Accent5 6" xfId="109" xr:uid="{00000000-0005-0000-0000-000072000000}"/>
    <cellStyle name="20% - Accent5 7" xfId="110" xr:uid="{00000000-0005-0000-0000-000073000000}"/>
    <cellStyle name="20% - Accent5 8" xfId="111" xr:uid="{00000000-0005-0000-0000-000074000000}"/>
    <cellStyle name="20% - Accent6 2 10" xfId="112" xr:uid="{00000000-0005-0000-0000-000075000000}"/>
    <cellStyle name="20% - Accent6 2 11" xfId="113" xr:uid="{00000000-0005-0000-0000-000076000000}"/>
    <cellStyle name="20% - Accent6 2 12" xfId="114" xr:uid="{00000000-0005-0000-0000-000077000000}"/>
    <cellStyle name="20% - Accent6 2 13" xfId="115" xr:uid="{00000000-0005-0000-0000-000078000000}"/>
    <cellStyle name="20% - Accent6 2 14" xfId="116" xr:uid="{00000000-0005-0000-0000-000079000000}"/>
    <cellStyle name="20% - Accent6 2 15" xfId="117" xr:uid="{00000000-0005-0000-0000-00007A000000}"/>
    <cellStyle name="20% - Accent6 2 2" xfId="118" xr:uid="{00000000-0005-0000-0000-00007B000000}"/>
    <cellStyle name="20% - Accent6 2 3" xfId="119" xr:uid="{00000000-0005-0000-0000-00007C000000}"/>
    <cellStyle name="20% - Accent6 2 4" xfId="120" xr:uid="{00000000-0005-0000-0000-00007D000000}"/>
    <cellStyle name="20% - Accent6 2 5" xfId="121" xr:uid="{00000000-0005-0000-0000-00007E000000}"/>
    <cellStyle name="20% - Accent6 2 6" xfId="122" xr:uid="{00000000-0005-0000-0000-00007F000000}"/>
    <cellStyle name="20% - Accent6 2 7" xfId="123" xr:uid="{00000000-0005-0000-0000-000080000000}"/>
    <cellStyle name="20% - Accent6 2 8" xfId="124" xr:uid="{00000000-0005-0000-0000-000081000000}"/>
    <cellStyle name="20% - Accent6 2 9" xfId="125" xr:uid="{00000000-0005-0000-0000-000082000000}"/>
    <cellStyle name="20% - Accent6 3" xfId="126" xr:uid="{00000000-0005-0000-0000-000083000000}"/>
    <cellStyle name="20% - Accent6 4" xfId="127" xr:uid="{00000000-0005-0000-0000-000084000000}"/>
    <cellStyle name="20% - Accent6 5" xfId="128" xr:uid="{00000000-0005-0000-0000-000085000000}"/>
    <cellStyle name="20% - Accent6 6" xfId="129" xr:uid="{00000000-0005-0000-0000-000086000000}"/>
    <cellStyle name="20% - Accent6 7" xfId="130" xr:uid="{00000000-0005-0000-0000-000087000000}"/>
    <cellStyle name="20% - Accent6 8" xfId="131" xr:uid="{00000000-0005-0000-0000-000088000000}"/>
    <cellStyle name="40% - Accent1 2 10" xfId="132" xr:uid="{00000000-0005-0000-0000-000089000000}"/>
    <cellStyle name="40% - Accent1 2 11" xfId="133" xr:uid="{00000000-0005-0000-0000-00008A000000}"/>
    <cellStyle name="40% - Accent1 2 12" xfId="134" xr:uid="{00000000-0005-0000-0000-00008B000000}"/>
    <cellStyle name="40% - Accent1 2 13" xfId="135" xr:uid="{00000000-0005-0000-0000-00008C000000}"/>
    <cellStyle name="40% - Accent1 2 14" xfId="136" xr:uid="{00000000-0005-0000-0000-00008D000000}"/>
    <cellStyle name="40% - Accent1 2 15" xfId="137" xr:uid="{00000000-0005-0000-0000-00008E000000}"/>
    <cellStyle name="40% - Accent1 2 2" xfId="138" xr:uid="{00000000-0005-0000-0000-00008F000000}"/>
    <cellStyle name="40% - Accent1 2 3" xfId="139" xr:uid="{00000000-0005-0000-0000-000090000000}"/>
    <cellStyle name="40% - Accent1 2 4" xfId="140" xr:uid="{00000000-0005-0000-0000-000091000000}"/>
    <cellStyle name="40% - Accent1 2 5" xfId="141" xr:uid="{00000000-0005-0000-0000-000092000000}"/>
    <cellStyle name="40% - Accent1 2 6" xfId="142" xr:uid="{00000000-0005-0000-0000-000093000000}"/>
    <cellStyle name="40% - Accent1 2 7" xfId="143" xr:uid="{00000000-0005-0000-0000-000094000000}"/>
    <cellStyle name="40% - Accent1 2 8" xfId="144" xr:uid="{00000000-0005-0000-0000-000095000000}"/>
    <cellStyle name="40% - Accent1 2 9" xfId="145" xr:uid="{00000000-0005-0000-0000-000096000000}"/>
    <cellStyle name="40% - Accent1 3" xfId="146" xr:uid="{00000000-0005-0000-0000-000097000000}"/>
    <cellStyle name="40% - Accent1 4" xfId="147" xr:uid="{00000000-0005-0000-0000-000098000000}"/>
    <cellStyle name="40% - Accent1 5" xfId="148" xr:uid="{00000000-0005-0000-0000-000099000000}"/>
    <cellStyle name="40% - Accent1 6" xfId="149" xr:uid="{00000000-0005-0000-0000-00009A000000}"/>
    <cellStyle name="40% - Accent1 7" xfId="150" xr:uid="{00000000-0005-0000-0000-00009B000000}"/>
    <cellStyle name="40% - Accent1 8" xfId="151" xr:uid="{00000000-0005-0000-0000-00009C000000}"/>
    <cellStyle name="40% - Accent2 2 10" xfId="152" xr:uid="{00000000-0005-0000-0000-00009D000000}"/>
    <cellStyle name="40% - Accent2 2 11" xfId="153" xr:uid="{00000000-0005-0000-0000-00009E000000}"/>
    <cellStyle name="40% - Accent2 2 12" xfId="154" xr:uid="{00000000-0005-0000-0000-00009F000000}"/>
    <cellStyle name="40% - Accent2 2 13" xfId="155" xr:uid="{00000000-0005-0000-0000-0000A0000000}"/>
    <cellStyle name="40% - Accent2 2 14" xfId="156" xr:uid="{00000000-0005-0000-0000-0000A1000000}"/>
    <cellStyle name="40% - Accent2 2 15" xfId="157" xr:uid="{00000000-0005-0000-0000-0000A2000000}"/>
    <cellStyle name="40% - Accent2 2 2" xfId="158" xr:uid="{00000000-0005-0000-0000-0000A3000000}"/>
    <cellStyle name="40% - Accent2 2 3" xfId="159" xr:uid="{00000000-0005-0000-0000-0000A4000000}"/>
    <cellStyle name="40% - Accent2 2 4" xfId="160" xr:uid="{00000000-0005-0000-0000-0000A5000000}"/>
    <cellStyle name="40% - Accent2 2 5" xfId="161" xr:uid="{00000000-0005-0000-0000-0000A6000000}"/>
    <cellStyle name="40% - Accent2 2 6" xfId="162" xr:uid="{00000000-0005-0000-0000-0000A7000000}"/>
    <cellStyle name="40% - Accent2 2 7" xfId="163" xr:uid="{00000000-0005-0000-0000-0000A8000000}"/>
    <cellStyle name="40% - Accent2 2 8" xfId="164" xr:uid="{00000000-0005-0000-0000-0000A9000000}"/>
    <cellStyle name="40% - Accent2 2 9" xfId="165" xr:uid="{00000000-0005-0000-0000-0000AA000000}"/>
    <cellStyle name="40% - Accent2 3" xfId="166" xr:uid="{00000000-0005-0000-0000-0000AB000000}"/>
    <cellStyle name="40% - Accent2 4" xfId="167" xr:uid="{00000000-0005-0000-0000-0000AC000000}"/>
    <cellStyle name="40% - Accent2 5" xfId="168" xr:uid="{00000000-0005-0000-0000-0000AD000000}"/>
    <cellStyle name="40% - Accent2 6" xfId="169" xr:uid="{00000000-0005-0000-0000-0000AE000000}"/>
    <cellStyle name="40% - Accent2 7" xfId="170" xr:uid="{00000000-0005-0000-0000-0000AF000000}"/>
    <cellStyle name="40% - Accent2 8" xfId="171" xr:uid="{00000000-0005-0000-0000-0000B0000000}"/>
    <cellStyle name="40% - Accent3 2 10" xfId="172" xr:uid="{00000000-0005-0000-0000-0000B1000000}"/>
    <cellStyle name="40% - Accent3 2 11" xfId="173" xr:uid="{00000000-0005-0000-0000-0000B2000000}"/>
    <cellStyle name="40% - Accent3 2 12" xfId="174" xr:uid="{00000000-0005-0000-0000-0000B3000000}"/>
    <cellStyle name="40% - Accent3 2 13" xfId="175" xr:uid="{00000000-0005-0000-0000-0000B4000000}"/>
    <cellStyle name="40% - Accent3 2 14" xfId="176" xr:uid="{00000000-0005-0000-0000-0000B5000000}"/>
    <cellStyle name="40% - Accent3 2 15" xfId="177" xr:uid="{00000000-0005-0000-0000-0000B6000000}"/>
    <cellStyle name="40% - Accent3 2 2" xfId="178" xr:uid="{00000000-0005-0000-0000-0000B7000000}"/>
    <cellStyle name="40% - Accent3 2 3" xfId="179" xr:uid="{00000000-0005-0000-0000-0000B8000000}"/>
    <cellStyle name="40% - Accent3 2 4" xfId="180" xr:uid="{00000000-0005-0000-0000-0000B9000000}"/>
    <cellStyle name="40% - Accent3 2 5" xfId="181" xr:uid="{00000000-0005-0000-0000-0000BA000000}"/>
    <cellStyle name="40% - Accent3 2 6" xfId="182" xr:uid="{00000000-0005-0000-0000-0000BB000000}"/>
    <cellStyle name="40% - Accent3 2 7" xfId="183" xr:uid="{00000000-0005-0000-0000-0000BC000000}"/>
    <cellStyle name="40% - Accent3 2 8" xfId="184" xr:uid="{00000000-0005-0000-0000-0000BD000000}"/>
    <cellStyle name="40% - Accent3 2 9" xfId="185" xr:uid="{00000000-0005-0000-0000-0000BE000000}"/>
    <cellStyle name="40% - Accent3 3" xfId="186" xr:uid="{00000000-0005-0000-0000-0000BF000000}"/>
    <cellStyle name="40% - Accent3 4" xfId="187" xr:uid="{00000000-0005-0000-0000-0000C0000000}"/>
    <cellStyle name="40% - Accent3 5" xfId="188" xr:uid="{00000000-0005-0000-0000-0000C1000000}"/>
    <cellStyle name="40% - Accent3 6" xfId="189" xr:uid="{00000000-0005-0000-0000-0000C2000000}"/>
    <cellStyle name="40% - Accent3 7" xfId="190" xr:uid="{00000000-0005-0000-0000-0000C3000000}"/>
    <cellStyle name="40% - Accent3 8" xfId="191" xr:uid="{00000000-0005-0000-0000-0000C4000000}"/>
    <cellStyle name="40% - Accent4 2 10" xfId="192" xr:uid="{00000000-0005-0000-0000-0000C5000000}"/>
    <cellStyle name="40% - Accent4 2 11" xfId="193" xr:uid="{00000000-0005-0000-0000-0000C6000000}"/>
    <cellStyle name="40% - Accent4 2 12" xfId="194" xr:uid="{00000000-0005-0000-0000-0000C7000000}"/>
    <cellStyle name="40% - Accent4 2 13" xfId="195" xr:uid="{00000000-0005-0000-0000-0000C8000000}"/>
    <cellStyle name="40% - Accent4 2 14" xfId="196" xr:uid="{00000000-0005-0000-0000-0000C9000000}"/>
    <cellStyle name="40% - Accent4 2 15" xfId="197" xr:uid="{00000000-0005-0000-0000-0000CA000000}"/>
    <cellStyle name="40% - Accent4 2 2" xfId="198" xr:uid="{00000000-0005-0000-0000-0000CB000000}"/>
    <cellStyle name="40% - Accent4 2 3" xfId="199" xr:uid="{00000000-0005-0000-0000-0000CC000000}"/>
    <cellStyle name="40% - Accent4 2 4" xfId="200" xr:uid="{00000000-0005-0000-0000-0000CD000000}"/>
    <cellStyle name="40% - Accent4 2 5" xfId="201" xr:uid="{00000000-0005-0000-0000-0000CE000000}"/>
    <cellStyle name="40% - Accent4 2 6" xfId="202" xr:uid="{00000000-0005-0000-0000-0000CF000000}"/>
    <cellStyle name="40% - Accent4 2 7" xfId="203" xr:uid="{00000000-0005-0000-0000-0000D0000000}"/>
    <cellStyle name="40% - Accent4 2 8" xfId="204" xr:uid="{00000000-0005-0000-0000-0000D1000000}"/>
    <cellStyle name="40% - Accent4 2 9" xfId="205" xr:uid="{00000000-0005-0000-0000-0000D2000000}"/>
    <cellStyle name="40% - Accent4 3" xfId="206" xr:uid="{00000000-0005-0000-0000-0000D3000000}"/>
    <cellStyle name="40% - Accent4 4" xfId="207" xr:uid="{00000000-0005-0000-0000-0000D4000000}"/>
    <cellStyle name="40% - Accent4 5" xfId="208" xr:uid="{00000000-0005-0000-0000-0000D5000000}"/>
    <cellStyle name="40% - Accent4 6" xfId="209" xr:uid="{00000000-0005-0000-0000-0000D6000000}"/>
    <cellStyle name="40% - Accent4 7" xfId="210" xr:uid="{00000000-0005-0000-0000-0000D7000000}"/>
    <cellStyle name="40% - Accent4 8" xfId="211" xr:uid="{00000000-0005-0000-0000-0000D8000000}"/>
    <cellStyle name="40% - Accent5 2 10" xfId="212" xr:uid="{00000000-0005-0000-0000-0000D9000000}"/>
    <cellStyle name="40% - Accent5 2 11" xfId="213" xr:uid="{00000000-0005-0000-0000-0000DA000000}"/>
    <cellStyle name="40% - Accent5 2 12" xfId="214" xr:uid="{00000000-0005-0000-0000-0000DB000000}"/>
    <cellStyle name="40% - Accent5 2 13" xfId="215" xr:uid="{00000000-0005-0000-0000-0000DC000000}"/>
    <cellStyle name="40% - Accent5 2 14" xfId="216" xr:uid="{00000000-0005-0000-0000-0000DD000000}"/>
    <cellStyle name="40% - Accent5 2 15" xfId="217" xr:uid="{00000000-0005-0000-0000-0000DE000000}"/>
    <cellStyle name="40% - Accent5 2 2" xfId="218" xr:uid="{00000000-0005-0000-0000-0000DF000000}"/>
    <cellStyle name="40% - Accent5 2 3" xfId="219" xr:uid="{00000000-0005-0000-0000-0000E0000000}"/>
    <cellStyle name="40% - Accent5 2 4" xfId="220" xr:uid="{00000000-0005-0000-0000-0000E1000000}"/>
    <cellStyle name="40% - Accent5 2 5" xfId="221" xr:uid="{00000000-0005-0000-0000-0000E2000000}"/>
    <cellStyle name="40% - Accent5 2 6" xfId="222" xr:uid="{00000000-0005-0000-0000-0000E3000000}"/>
    <cellStyle name="40% - Accent5 2 7" xfId="223" xr:uid="{00000000-0005-0000-0000-0000E4000000}"/>
    <cellStyle name="40% - Accent5 2 8" xfId="224" xr:uid="{00000000-0005-0000-0000-0000E5000000}"/>
    <cellStyle name="40% - Accent5 2 9" xfId="225" xr:uid="{00000000-0005-0000-0000-0000E6000000}"/>
    <cellStyle name="40% - Accent5 3" xfId="226" xr:uid="{00000000-0005-0000-0000-0000E7000000}"/>
    <cellStyle name="40% - Accent5 4" xfId="227" xr:uid="{00000000-0005-0000-0000-0000E8000000}"/>
    <cellStyle name="40% - Accent5 5" xfId="228" xr:uid="{00000000-0005-0000-0000-0000E9000000}"/>
    <cellStyle name="40% - Accent5 6" xfId="229" xr:uid="{00000000-0005-0000-0000-0000EA000000}"/>
    <cellStyle name="40% - Accent5 7" xfId="230" xr:uid="{00000000-0005-0000-0000-0000EB000000}"/>
    <cellStyle name="40% - Accent5 8" xfId="231" xr:uid="{00000000-0005-0000-0000-0000EC000000}"/>
    <cellStyle name="40% - Accent6 2 10" xfId="232" xr:uid="{00000000-0005-0000-0000-0000ED000000}"/>
    <cellStyle name="40% - Accent6 2 11" xfId="233" xr:uid="{00000000-0005-0000-0000-0000EE000000}"/>
    <cellStyle name="40% - Accent6 2 12" xfId="234" xr:uid="{00000000-0005-0000-0000-0000EF000000}"/>
    <cellStyle name="40% - Accent6 2 13" xfId="235" xr:uid="{00000000-0005-0000-0000-0000F0000000}"/>
    <cellStyle name="40% - Accent6 2 14" xfId="236" xr:uid="{00000000-0005-0000-0000-0000F1000000}"/>
    <cellStyle name="40% - Accent6 2 15" xfId="237" xr:uid="{00000000-0005-0000-0000-0000F2000000}"/>
    <cellStyle name="40% - Accent6 2 2" xfId="238" xr:uid="{00000000-0005-0000-0000-0000F3000000}"/>
    <cellStyle name="40% - Accent6 2 3" xfId="239" xr:uid="{00000000-0005-0000-0000-0000F4000000}"/>
    <cellStyle name="40% - Accent6 2 4" xfId="240" xr:uid="{00000000-0005-0000-0000-0000F5000000}"/>
    <cellStyle name="40% - Accent6 2 5" xfId="241" xr:uid="{00000000-0005-0000-0000-0000F6000000}"/>
    <cellStyle name="40% - Accent6 2 6" xfId="242" xr:uid="{00000000-0005-0000-0000-0000F7000000}"/>
    <cellStyle name="40% - Accent6 2 7" xfId="243" xr:uid="{00000000-0005-0000-0000-0000F8000000}"/>
    <cellStyle name="40% - Accent6 2 8" xfId="244" xr:uid="{00000000-0005-0000-0000-0000F9000000}"/>
    <cellStyle name="40% - Accent6 2 9" xfId="245" xr:uid="{00000000-0005-0000-0000-0000FA000000}"/>
    <cellStyle name="40% - Accent6 3" xfId="246" xr:uid="{00000000-0005-0000-0000-0000FB000000}"/>
    <cellStyle name="40% - Accent6 4" xfId="247" xr:uid="{00000000-0005-0000-0000-0000FC000000}"/>
    <cellStyle name="40% - Accent6 5" xfId="248" xr:uid="{00000000-0005-0000-0000-0000FD000000}"/>
    <cellStyle name="40% - Accent6 6" xfId="249" xr:uid="{00000000-0005-0000-0000-0000FE000000}"/>
    <cellStyle name="40% - Accent6 7" xfId="250" xr:uid="{00000000-0005-0000-0000-0000FF000000}"/>
    <cellStyle name="40% - Accent6 8" xfId="251" xr:uid="{00000000-0005-0000-0000-000000010000}"/>
    <cellStyle name="60% - Accent1 2 10" xfId="252" xr:uid="{00000000-0005-0000-0000-000001010000}"/>
    <cellStyle name="60% - Accent1 2 2" xfId="253" xr:uid="{00000000-0005-0000-0000-000002010000}"/>
    <cellStyle name="60% - Accent1 2 3" xfId="254" xr:uid="{00000000-0005-0000-0000-000003010000}"/>
    <cellStyle name="60% - Accent1 2 4" xfId="255" xr:uid="{00000000-0005-0000-0000-000004010000}"/>
    <cellStyle name="60% - Accent1 2 5" xfId="256" xr:uid="{00000000-0005-0000-0000-000005010000}"/>
    <cellStyle name="60% - Accent1 2 6" xfId="257" xr:uid="{00000000-0005-0000-0000-000006010000}"/>
    <cellStyle name="60% - Accent1 2 7" xfId="258" xr:uid="{00000000-0005-0000-0000-000007010000}"/>
    <cellStyle name="60% - Accent1 2 8" xfId="259" xr:uid="{00000000-0005-0000-0000-000008010000}"/>
    <cellStyle name="60% - Accent1 2 9" xfId="260" xr:uid="{00000000-0005-0000-0000-000009010000}"/>
    <cellStyle name="60% - Accent1 3" xfId="261" xr:uid="{00000000-0005-0000-0000-00000A010000}"/>
    <cellStyle name="60% - Accent2 2 10" xfId="262" xr:uid="{00000000-0005-0000-0000-00000B010000}"/>
    <cellStyle name="60% - Accent2 2 2" xfId="263" xr:uid="{00000000-0005-0000-0000-00000C010000}"/>
    <cellStyle name="60% - Accent2 2 3" xfId="264" xr:uid="{00000000-0005-0000-0000-00000D010000}"/>
    <cellStyle name="60% - Accent2 2 4" xfId="265" xr:uid="{00000000-0005-0000-0000-00000E010000}"/>
    <cellStyle name="60% - Accent2 2 5" xfId="266" xr:uid="{00000000-0005-0000-0000-00000F010000}"/>
    <cellStyle name="60% - Accent2 2 6" xfId="267" xr:uid="{00000000-0005-0000-0000-000010010000}"/>
    <cellStyle name="60% - Accent2 2 7" xfId="268" xr:uid="{00000000-0005-0000-0000-000011010000}"/>
    <cellStyle name="60% - Accent2 2 8" xfId="269" xr:uid="{00000000-0005-0000-0000-000012010000}"/>
    <cellStyle name="60% - Accent2 2 9" xfId="270" xr:uid="{00000000-0005-0000-0000-000013010000}"/>
    <cellStyle name="60% - Accent2 3" xfId="271" xr:uid="{00000000-0005-0000-0000-000014010000}"/>
    <cellStyle name="60% - Accent3 2 10" xfId="272" xr:uid="{00000000-0005-0000-0000-000015010000}"/>
    <cellStyle name="60% - Accent3 2 2" xfId="273" xr:uid="{00000000-0005-0000-0000-000016010000}"/>
    <cellStyle name="60% - Accent3 2 3" xfId="274" xr:uid="{00000000-0005-0000-0000-000017010000}"/>
    <cellStyle name="60% - Accent3 2 4" xfId="275" xr:uid="{00000000-0005-0000-0000-000018010000}"/>
    <cellStyle name="60% - Accent3 2 5" xfId="276" xr:uid="{00000000-0005-0000-0000-000019010000}"/>
    <cellStyle name="60% - Accent3 2 6" xfId="277" xr:uid="{00000000-0005-0000-0000-00001A010000}"/>
    <cellStyle name="60% - Accent3 2 7" xfId="278" xr:uid="{00000000-0005-0000-0000-00001B010000}"/>
    <cellStyle name="60% - Accent3 2 8" xfId="279" xr:uid="{00000000-0005-0000-0000-00001C010000}"/>
    <cellStyle name="60% - Accent3 2 9" xfId="280" xr:uid="{00000000-0005-0000-0000-00001D010000}"/>
    <cellStyle name="60% - Accent3 3" xfId="281" xr:uid="{00000000-0005-0000-0000-00001E010000}"/>
    <cellStyle name="60% - Accent4 2 10" xfId="282" xr:uid="{00000000-0005-0000-0000-00001F010000}"/>
    <cellStyle name="60% - Accent4 2 2" xfId="283" xr:uid="{00000000-0005-0000-0000-000020010000}"/>
    <cellStyle name="60% - Accent4 2 3" xfId="284" xr:uid="{00000000-0005-0000-0000-000021010000}"/>
    <cellStyle name="60% - Accent4 2 4" xfId="285" xr:uid="{00000000-0005-0000-0000-000022010000}"/>
    <cellStyle name="60% - Accent4 2 5" xfId="286" xr:uid="{00000000-0005-0000-0000-000023010000}"/>
    <cellStyle name="60% - Accent4 2 6" xfId="287" xr:uid="{00000000-0005-0000-0000-000024010000}"/>
    <cellStyle name="60% - Accent4 2 7" xfId="288" xr:uid="{00000000-0005-0000-0000-000025010000}"/>
    <cellStyle name="60% - Accent4 2 8" xfId="289" xr:uid="{00000000-0005-0000-0000-000026010000}"/>
    <cellStyle name="60% - Accent4 2 9" xfId="290" xr:uid="{00000000-0005-0000-0000-000027010000}"/>
    <cellStyle name="60% - Accent4 3" xfId="291" xr:uid="{00000000-0005-0000-0000-000028010000}"/>
    <cellStyle name="60% - Accent5 2 10" xfId="292" xr:uid="{00000000-0005-0000-0000-000029010000}"/>
    <cellStyle name="60% - Accent5 2 2" xfId="293" xr:uid="{00000000-0005-0000-0000-00002A010000}"/>
    <cellStyle name="60% - Accent5 2 3" xfId="294" xr:uid="{00000000-0005-0000-0000-00002B010000}"/>
    <cellStyle name="60% - Accent5 2 4" xfId="295" xr:uid="{00000000-0005-0000-0000-00002C010000}"/>
    <cellStyle name="60% - Accent5 2 5" xfId="296" xr:uid="{00000000-0005-0000-0000-00002D010000}"/>
    <cellStyle name="60% - Accent5 2 6" xfId="297" xr:uid="{00000000-0005-0000-0000-00002E010000}"/>
    <cellStyle name="60% - Accent5 2 7" xfId="298" xr:uid="{00000000-0005-0000-0000-00002F010000}"/>
    <cellStyle name="60% - Accent5 2 8" xfId="299" xr:uid="{00000000-0005-0000-0000-000030010000}"/>
    <cellStyle name="60% - Accent5 2 9" xfId="300" xr:uid="{00000000-0005-0000-0000-000031010000}"/>
    <cellStyle name="60% - Accent5 3" xfId="301" xr:uid="{00000000-0005-0000-0000-000032010000}"/>
    <cellStyle name="60% - Accent6 2 10" xfId="302" xr:uid="{00000000-0005-0000-0000-000033010000}"/>
    <cellStyle name="60% - Accent6 2 2" xfId="303" xr:uid="{00000000-0005-0000-0000-000034010000}"/>
    <cellStyle name="60% - Accent6 2 3" xfId="304" xr:uid="{00000000-0005-0000-0000-000035010000}"/>
    <cellStyle name="60% - Accent6 2 4" xfId="305" xr:uid="{00000000-0005-0000-0000-000036010000}"/>
    <cellStyle name="60% - Accent6 2 5" xfId="306" xr:uid="{00000000-0005-0000-0000-000037010000}"/>
    <cellStyle name="60% - Accent6 2 6" xfId="307" xr:uid="{00000000-0005-0000-0000-000038010000}"/>
    <cellStyle name="60% - Accent6 2 7" xfId="308" xr:uid="{00000000-0005-0000-0000-000039010000}"/>
    <cellStyle name="60% - Accent6 2 8" xfId="309" xr:uid="{00000000-0005-0000-0000-00003A010000}"/>
    <cellStyle name="60% - Accent6 2 9" xfId="310" xr:uid="{00000000-0005-0000-0000-00003B010000}"/>
    <cellStyle name="60% - Accent6 3" xfId="311" xr:uid="{00000000-0005-0000-0000-00003C010000}"/>
    <cellStyle name="Accent1 2 10" xfId="312" xr:uid="{00000000-0005-0000-0000-00003D010000}"/>
    <cellStyle name="Accent1 2 2" xfId="313" xr:uid="{00000000-0005-0000-0000-00003E010000}"/>
    <cellStyle name="Accent1 2 3" xfId="314" xr:uid="{00000000-0005-0000-0000-00003F010000}"/>
    <cellStyle name="Accent1 2 4" xfId="315" xr:uid="{00000000-0005-0000-0000-000040010000}"/>
    <cellStyle name="Accent1 2 5" xfId="316" xr:uid="{00000000-0005-0000-0000-000041010000}"/>
    <cellStyle name="Accent1 2 6" xfId="317" xr:uid="{00000000-0005-0000-0000-000042010000}"/>
    <cellStyle name="Accent1 2 7" xfId="318" xr:uid="{00000000-0005-0000-0000-000043010000}"/>
    <cellStyle name="Accent1 2 8" xfId="319" xr:uid="{00000000-0005-0000-0000-000044010000}"/>
    <cellStyle name="Accent1 2 9" xfId="320" xr:uid="{00000000-0005-0000-0000-000045010000}"/>
    <cellStyle name="Accent1 3" xfId="321" xr:uid="{00000000-0005-0000-0000-000046010000}"/>
    <cellStyle name="Accent2 2 10" xfId="322" xr:uid="{00000000-0005-0000-0000-000047010000}"/>
    <cellStyle name="Accent2 2 2" xfId="323" xr:uid="{00000000-0005-0000-0000-000048010000}"/>
    <cellStyle name="Accent2 2 3" xfId="324" xr:uid="{00000000-0005-0000-0000-000049010000}"/>
    <cellStyle name="Accent2 2 4" xfId="325" xr:uid="{00000000-0005-0000-0000-00004A010000}"/>
    <cellStyle name="Accent2 2 5" xfId="326" xr:uid="{00000000-0005-0000-0000-00004B010000}"/>
    <cellStyle name="Accent2 2 6" xfId="327" xr:uid="{00000000-0005-0000-0000-00004C010000}"/>
    <cellStyle name="Accent2 2 7" xfId="328" xr:uid="{00000000-0005-0000-0000-00004D010000}"/>
    <cellStyle name="Accent2 2 8" xfId="329" xr:uid="{00000000-0005-0000-0000-00004E010000}"/>
    <cellStyle name="Accent2 2 9" xfId="330" xr:uid="{00000000-0005-0000-0000-00004F010000}"/>
    <cellStyle name="Accent2 3" xfId="331" xr:uid="{00000000-0005-0000-0000-000050010000}"/>
    <cellStyle name="Accent3 2 10" xfId="332" xr:uid="{00000000-0005-0000-0000-000051010000}"/>
    <cellStyle name="Accent3 2 2" xfId="333" xr:uid="{00000000-0005-0000-0000-000052010000}"/>
    <cellStyle name="Accent3 2 3" xfId="334" xr:uid="{00000000-0005-0000-0000-000053010000}"/>
    <cellStyle name="Accent3 2 4" xfId="335" xr:uid="{00000000-0005-0000-0000-000054010000}"/>
    <cellStyle name="Accent3 2 5" xfId="336" xr:uid="{00000000-0005-0000-0000-000055010000}"/>
    <cellStyle name="Accent3 2 6" xfId="337" xr:uid="{00000000-0005-0000-0000-000056010000}"/>
    <cellStyle name="Accent3 2 7" xfId="338" xr:uid="{00000000-0005-0000-0000-000057010000}"/>
    <cellStyle name="Accent3 2 8" xfId="339" xr:uid="{00000000-0005-0000-0000-000058010000}"/>
    <cellStyle name="Accent3 2 9" xfId="340" xr:uid="{00000000-0005-0000-0000-000059010000}"/>
    <cellStyle name="Accent3 3" xfId="341" xr:uid="{00000000-0005-0000-0000-00005A010000}"/>
    <cellStyle name="Accent4 2 10" xfId="342" xr:uid="{00000000-0005-0000-0000-00005B010000}"/>
    <cellStyle name="Accent4 2 2" xfId="343" xr:uid="{00000000-0005-0000-0000-00005C010000}"/>
    <cellStyle name="Accent4 2 3" xfId="344" xr:uid="{00000000-0005-0000-0000-00005D010000}"/>
    <cellStyle name="Accent4 2 4" xfId="345" xr:uid="{00000000-0005-0000-0000-00005E010000}"/>
    <cellStyle name="Accent4 2 5" xfId="346" xr:uid="{00000000-0005-0000-0000-00005F010000}"/>
    <cellStyle name="Accent4 2 6" xfId="347" xr:uid="{00000000-0005-0000-0000-000060010000}"/>
    <cellStyle name="Accent4 2 7" xfId="348" xr:uid="{00000000-0005-0000-0000-000061010000}"/>
    <cellStyle name="Accent4 2 8" xfId="349" xr:uid="{00000000-0005-0000-0000-000062010000}"/>
    <cellStyle name="Accent4 2 9" xfId="350" xr:uid="{00000000-0005-0000-0000-000063010000}"/>
    <cellStyle name="Accent4 3" xfId="351" xr:uid="{00000000-0005-0000-0000-000064010000}"/>
    <cellStyle name="Accent5 2 10" xfId="352" xr:uid="{00000000-0005-0000-0000-000065010000}"/>
    <cellStyle name="Accent5 2 2" xfId="353" xr:uid="{00000000-0005-0000-0000-000066010000}"/>
    <cellStyle name="Accent5 2 3" xfId="354" xr:uid="{00000000-0005-0000-0000-000067010000}"/>
    <cellStyle name="Accent5 2 4" xfId="355" xr:uid="{00000000-0005-0000-0000-000068010000}"/>
    <cellStyle name="Accent5 2 5" xfId="356" xr:uid="{00000000-0005-0000-0000-000069010000}"/>
    <cellStyle name="Accent5 2 6" xfId="357" xr:uid="{00000000-0005-0000-0000-00006A010000}"/>
    <cellStyle name="Accent5 2 7" xfId="358" xr:uid="{00000000-0005-0000-0000-00006B010000}"/>
    <cellStyle name="Accent5 2 8" xfId="359" xr:uid="{00000000-0005-0000-0000-00006C010000}"/>
    <cellStyle name="Accent5 2 9" xfId="360" xr:uid="{00000000-0005-0000-0000-00006D010000}"/>
    <cellStyle name="Accent5 3" xfId="361" xr:uid="{00000000-0005-0000-0000-00006E010000}"/>
    <cellStyle name="Accent6 2 10" xfId="362" xr:uid="{00000000-0005-0000-0000-00006F010000}"/>
    <cellStyle name="Accent6 2 2" xfId="363" xr:uid="{00000000-0005-0000-0000-000070010000}"/>
    <cellStyle name="Accent6 2 3" xfId="364" xr:uid="{00000000-0005-0000-0000-000071010000}"/>
    <cellStyle name="Accent6 2 4" xfId="365" xr:uid="{00000000-0005-0000-0000-000072010000}"/>
    <cellStyle name="Accent6 2 5" xfId="366" xr:uid="{00000000-0005-0000-0000-000073010000}"/>
    <cellStyle name="Accent6 2 6" xfId="367" xr:uid="{00000000-0005-0000-0000-000074010000}"/>
    <cellStyle name="Accent6 2 7" xfId="368" xr:uid="{00000000-0005-0000-0000-000075010000}"/>
    <cellStyle name="Accent6 2 8" xfId="369" xr:uid="{00000000-0005-0000-0000-000076010000}"/>
    <cellStyle name="Accent6 2 9" xfId="370" xr:uid="{00000000-0005-0000-0000-000077010000}"/>
    <cellStyle name="Accent6 3" xfId="371" xr:uid="{00000000-0005-0000-0000-000078010000}"/>
    <cellStyle name="Bad 2 10" xfId="372" xr:uid="{00000000-0005-0000-0000-000079010000}"/>
    <cellStyle name="Bad 2 2" xfId="373" xr:uid="{00000000-0005-0000-0000-00007A010000}"/>
    <cellStyle name="Bad 2 3" xfId="374" xr:uid="{00000000-0005-0000-0000-00007B010000}"/>
    <cellStyle name="Bad 2 4" xfId="375" xr:uid="{00000000-0005-0000-0000-00007C010000}"/>
    <cellStyle name="Bad 2 5" xfId="376" xr:uid="{00000000-0005-0000-0000-00007D010000}"/>
    <cellStyle name="Bad 2 6" xfId="377" xr:uid="{00000000-0005-0000-0000-00007E010000}"/>
    <cellStyle name="Bad 2 7" xfId="378" xr:uid="{00000000-0005-0000-0000-00007F010000}"/>
    <cellStyle name="Bad 2 8" xfId="379" xr:uid="{00000000-0005-0000-0000-000080010000}"/>
    <cellStyle name="Bad 2 9" xfId="380" xr:uid="{00000000-0005-0000-0000-000081010000}"/>
    <cellStyle name="Bad 3" xfId="381" xr:uid="{00000000-0005-0000-0000-000082010000}"/>
    <cellStyle name="Calculation 2 10" xfId="382" xr:uid="{00000000-0005-0000-0000-000083010000}"/>
    <cellStyle name="Calculation 2 2" xfId="383" xr:uid="{00000000-0005-0000-0000-000084010000}"/>
    <cellStyle name="Calculation 2 3" xfId="384" xr:uid="{00000000-0005-0000-0000-000085010000}"/>
    <cellStyle name="Calculation 2 4" xfId="385" xr:uid="{00000000-0005-0000-0000-000086010000}"/>
    <cellStyle name="Calculation 2 5" xfId="386" xr:uid="{00000000-0005-0000-0000-000087010000}"/>
    <cellStyle name="Calculation 2 6" xfId="387" xr:uid="{00000000-0005-0000-0000-000088010000}"/>
    <cellStyle name="Calculation 2 7" xfId="388" xr:uid="{00000000-0005-0000-0000-000089010000}"/>
    <cellStyle name="Calculation 2 8" xfId="389" xr:uid="{00000000-0005-0000-0000-00008A010000}"/>
    <cellStyle name="Calculation 2 9" xfId="390" xr:uid="{00000000-0005-0000-0000-00008B010000}"/>
    <cellStyle name="Calculation 3" xfId="391" xr:uid="{00000000-0005-0000-0000-00008C010000}"/>
    <cellStyle name="Check Cell 2 10" xfId="392" xr:uid="{00000000-0005-0000-0000-00008D010000}"/>
    <cellStyle name="Check Cell 2 2" xfId="393" xr:uid="{00000000-0005-0000-0000-00008E010000}"/>
    <cellStyle name="Check Cell 2 3" xfId="394" xr:uid="{00000000-0005-0000-0000-00008F010000}"/>
    <cellStyle name="Check Cell 2 4" xfId="395" xr:uid="{00000000-0005-0000-0000-000090010000}"/>
    <cellStyle name="Check Cell 2 5" xfId="396" xr:uid="{00000000-0005-0000-0000-000091010000}"/>
    <cellStyle name="Check Cell 2 6" xfId="397" xr:uid="{00000000-0005-0000-0000-000092010000}"/>
    <cellStyle name="Check Cell 2 7" xfId="398" xr:uid="{00000000-0005-0000-0000-000093010000}"/>
    <cellStyle name="Check Cell 2 8" xfId="399" xr:uid="{00000000-0005-0000-0000-000094010000}"/>
    <cellStyle name="Check Cell 2 9" xfId="400" xr:uid="{00000000-0005-0000-0000-000095010000}"/>
    <cellStyle name="Check Cell 3" xfId="401" xr:uid="{00000000-0005-0000-0000-000096010000}"/>
    <cellStyle name="Comma [0] 2 10" xfId="402" xr:uid="{00000000-0005-0000-0000-000097010000}"/>
    <cellStyle name="Comma [0] 2 2" xfId="403" xr:uid="{00000000-0005-0000-0000-000098010000}"/>
    <cellStyle name="Comma [0] 2 3" xfId="404" xr:uid="{00000000-0005-0000-0000-000099010000}"/>
    <cellStyle name="Comma [0] 2 4" xfId="405" xr:uid="{00000000-0005-0000-0000-00009A010000}"/>
    <cellStyle name="Comma [0] 2 5" xfId="406" xr:uid="{00000000-0005-0000-0000-00009B010000}"/>
    <cellStyle name="Comma [0] 2 6" xfId="407" xr:uid="{00000000-0005-0000-0000-00009C010000}"/>
    <cellStyle name="Comma [0] 2 7" xfId="408" xr:uid="{00000000-0005-0000-0000-00009D010000}"/>
    <cellStyle name="Comma [0] 2 8" xfId="409" xr:uid="{00000000-0005-0000-0000-00009E010000}"/>
    <cellStyle name="Comma [0] 2 9" xfId="410" xr:uid="{00000000-0005-0000-0000-00009F010000}"/>
    <cellStyle name="Comma 10 2" xfId="411" xr:uid="{00000000-0005-0000-0000-0000A0010000}"/>
    <cellStyle name="Comma 10 2 10" xfId="412" xr:uid="{00000000-0005-0000-0000-0000A1010000}"/>
    <cellStyle name="Comma 10 2 11" xfId="413" xr:uid="{00000000-0005-0000-0000-0000A2010000}"/>
    <cellStyle name="Comma 10 2 12" xfId="414" xr:uid="{00000000-0005-0000-0000-0000A3010000}"/>
    <cellStyle name="Comma 10 2 13" xfId="415" xr:uid="{00000000-0005-0000-0000-0000A4010000}"/>
    <cellStyle name="Comma 10 2 14" xfId="416" xr:uid="{00000000-0005-0000-0000-0000A5010000}"/>
    <cellStyle name="Comma 10 2 15" xfId="417" xr:uid="{00000000-0005-0000-0000-0000A6010000}"/>
    <cellStyle name="Comma 10 2 16" xfId="418" xr:uid="{00000000-0005-0000-0000-0000A7010000}"/>
    <cellStyle name="Comma 10 2 17" xfId="419" xr:uid="{00000000-0005-0000-0000-0000A8010000}"/>
    <cellStyle name="Comma 10 2 2" xfId="420" xr:uid="{00000000-0005-0000-0000-0000A9010000}"/>
    <cellStyle name="Comma 10 2 3" xfId="421" xr:uid="{00000000-0005-0000-0000-0000AA010000}"/>
    <cellStyle name="Comma 10 2 4" xfId="422" xr:uid="{00000000-0005-0000-0000-0000AB010000}"/>
    <cellStyle name="Comma 10 2 5" xfId="423" xr:uid="{00000000-0005-0000-0000-0000AC010000}"/>
    <cellStyle name="Comma 10 2 6" xfId="424" xr:uid="{00000000-0005-0000-0000-0000AD010000}"/>
    <cellStyle name="Comma 10 2 7" xfId="425" xr:uid="{00000000-0005-0000-0000-0000AE010000}"/>
    <cellStyle name="Comma 10 2 8" xfId="426" xr:uid="{00000000-0005-0000-0000-0000AF010000}"/>
    <cellStyle name="Comma 10 2 9" xfId="427" xr:uid="{00000000-0005-0000-0000-0000B0010000}"/>
    <cellStyle name="Comma 10 3" xfId="428" xr:uid="{00000000-0005-0000-0000-0000B1010000}"/>
    <cellStyle name="Comma 10 3 10" xfId="429" xr:uid="{00000000-0005-0000-0000-0000B2010000}"/>
    <cellStyle name="Comma 10 3 11" xfId="430" xr:uid="{00000000-0005-0000-0000-0000B3010000}"/>
    <cellStyle name="Comma 10 3 12" xfId="431" xr:uid="{00000000-0005-0000-0000-0000B4010000}"/>
    <cellStyle name="Comma 10 3 13" xfId="432" xr:uid="{00000000-0005-0000-0000-0000B5010000}"/>
    <cellStyle name="Comma 10 3 14" xfId="433" xr:uid="{00000000-0005-0000-0000-0000B6010000}"/>
    <cellStyle name="Comma 10 3 15" xfId="434" xr:uid="{00000000-0005-0000-0000-0000B7010000}"/>
    <cellStyle name="Comma 10 3 16" xfId="435" xr:uid="{00000000-0005-0000-0000-0000B8010000}"/>
    <cellStyle name="Comma 10 3 17" xfId="436" xr:uid="{00000000-0005-0000-0000-0000B9010000}"/>
    <cellStyle name="Comma 10 3 2" xfId="437" xr:uid="{00000000-0005-0000-0000-0000BA010000}"/>
    <cellStyle name="Comma 10 3 3" xfId="438" xr:uid="{00000000-0005-0000-0000-0000BB010000}"/>
    <cellStyle name="Comma 10 3 4" xfId="439" xr:uid="{00000000-0005-0000-0000-0000BC010000}"/>
    <cellStyle name="Comma 10 3 5" xfId="440" xr:uid="{00000000-0005-0000-0000-0000BD010000}"/>
    <cellStyle name="Comma 10 3 6" xfId="441" xr:uid="{00000000-0005-0000-0000-0000BE010000}"/>
    <cellStyle name="Comma 10 3 7" xfId="442" xr:uid="{00000000-0005-0000-0000-0000BF010000}"/>
    <cellStyle name="Comma 10 3 8" xfId="443" xr:uid="{00000000-0005-0000-0000-0000C0010000}"/>
    <cellStyle name="Comma 10 3 9" xfId="444" xr:uid="{00000000-0005-0000-0000-0000C1010000}"/>
    <cellStyle name="Comma 10 4" xfId="445" xr:uid="{00000000-0005-0000-0000-0000C2010000}"/>
    <cellStyle name="Comma 10 4 10" xfId="446" xr:uid="{00000000-0005-0000-0000-0000C3010000}"/>
    <cellStyle name="Comma 10 4 11" xfId="447" xr:uid="{00000000-0005-0000-0000-0000C4010000}"/>
    <cellStyle name="Comma 10 4 12" xfId="448" xr:uid="{00000000-0005-0000-0000-0000C5010000}"/>
    <cellStyle name="Comma 10 4 13" xfId="449" xr:uid="{00000000-0005-0000-0000-0000C6010000}"/>
    <cellStyle name="Comma 10 4 14" xfId="450" xr:uid="{00000000-0005-0000-0000-0000C7010000}"/>
    <cellStyle name="Comma 10 4 15" xfId="451" xr:uid="{00000000-0005-0000-0000-0000C8010000}"/>
    <cellStyle name="Comma 10 4 16" xfId="452" xr:uid="{00000000-0005-0000-0000-0000C9010000}"/>
    <cellStyle name="Comma 10 4 17" xfId="453" xr:uid="{00000000-0005-0000-0000-0000CA010000}"/>
    <cellStyle name="Comma 10 4 2" xfId="454" xr:uid="{00000000-0005-0000-0000-0000CB010000}"/>
    <cellStyle name="Comma 10 4 3" xfId="455" xr:uid="{00000000-0005-0000-0000-0000CC010000}"/>
    <cellStyle name="Comma 10 4 4" xfId="456" xr:uid="{00000000-0005-0000-0000-0000CD010000}"/>
    <cellStyle name="Comma 10 4 5" xfId="457" xr:uid="{00000000-0005-0000-0000-0000CE010000}"/>
    <cellStyle name="Comma 10 4 6" xfId="458" xr:uid="{00000000-0005-0000-0000-0000CF010000}"/>
    <cellStyle name="Comma 10 4 7" xfId="459" xr:uid="{00000000-0005-0000-0000-0000D0010000}"/>
    <cellStyle name="Comma 10 4 8" xfId="460" xr:uid="{00000000-0005-0000-0000-0000D1010000}"/>
    <cellStyle name="Comma 10 4 9" xfId="461" xr:uid="{00000000-0005-0000-0000-0000D2010000}"/>
    <cellStyle name="Comma 10 5" xfId="462" xr:uid="{00000000-0005-0000-0000-0000D3010000}"/>
    <cellStyle name="Comma 10 5 10" xfId="463" xr:uid="{00000000-0005-0000-0000-0000D4010000}"/>
    <cellStyle name="Comma 10 5 11" xfId="464" xr:uid="{00000000-0005-0000-0000-0000D5010000}"/>
    <cellStyle name="Comma 10 5 12" xfId="465" xr:uid="{00000000-0005-0000-0000-0000D6010000}"/>
    <cellStyle name="Comma 10 5 13" xfId="466" xr:uid="{00000000-0005-0000-0000-0000D7010000}"/>
    <cellStyle name="Comma 10 5 14" xfId="467" xr:uid="{00000000-0005-0000-0000-0000D8010000}"/>
    <cellStyle name="Comma 10 5 15" xfId="468" xr:uid="{00000000-0005-0000-0000-0000D9010000}"/>
    <cellStyle name="Comma 10 5 16" xfId="469" xr:uid="{00000000-0005-0000-0000-0000DA010000}"/>
    <cellStyle name="Comma 10 5 17" xfId="470" xr:uid="{00000000-0005-0000-0000-0000DB010000}"/>
    <cellStyle name="Comma 10 5 2" xfId="471" xr:uid="{00000000-0005-0000-0000-0000DC010000}"/>
    <cellStyle name="Comma 10 5 3" xfId="472" xr:uid="{00000000-0005-0000-0000-0000DD010000}"/>
    <cellStyle name="Comma 10 5 4" xfId="473" xr:uid="{00000000-0005-0000-0000-0000DE010000}"/>
    <cellStyle name="Comma 10 5 5" xfId="474" xr:uid="{00000000-0005-0000-0000-0000DF010000}"/>
    <cellStyle name="Comma 10 5 6" xfId="475" xr:uid="{00000000-0005-0000-0000-0000E0010000}"/>
    <cellStyle name="Comma 10 5 7" xfId="476" xr:uid="{00000000-0005-0000-0000-0000E1010000}"/>
    <cellStyle name="Comma 10 5 8" xfId="477" xr:uid="{00000000-0005-0000-0000-0000E2010000}"/>
    <cellStyle name="Comma 10 5 9" xfId="478" xr:uid="{00000000-0005-0000-0000-0000E3010000}"/>
    <cellStyle name="Comma 10 6" xfId="479" xr:uid="{00000000-0005-0000-0000-0000E4010000}"/>
    <cellStyle name="Comma 10 6 10" xfId="480" xr:uid="{00000000-0005-0000-0000-0000E5010000}"/>
    <cellStyle name="Comma 10 6 11" xfId="481" xr:uid="{00000000-0005-0000-0000-0000E6010000}"/>
    <cellStyle name="Comma 10 6 12" xfId="482" xr:uid="{00000000-0005-0000-0000-0000E7010000}"/>
    <cellStyle name="Comma 10 6 13" xfId="483" xr:uid="{00000000-0005-0000-0000-0000E8010000}"/>
    <cellStyle name="Comma 10 6 14" xfId="484" xr:uid="{00000000-0005-0000-0000-0000E9010000}"/>
    <cellStyle name="Comma 10 6 15" xfId="485" xr:uid="{00000000-0005-0000-0000-0000EA010000}"/>
    <cellStyle name="Comma 10 6 16" xfId="486" xr:uid="{00000000-0005-0000-0000-0000EB010000}"/>
    <cellStyle name="Comma 10 6 17" xfId="487" xr:uid="{00000000-0005-0000-0000-0000EC010000}"/>
    <cellStyle name="Comma 10 6 2" xfId="488" xr:uid="{00000000-0005-0000-0000-0000ED010000}"/>
    <cellStyle name="Comma 10 6 3" xfId="489" xr:uid="{00000000-0005-0000-0000-0000EE010000}"/>
    <cellStyle name="Comma 10 6 4" xfId="490" xr:uid="{00000000-0005-0000-0000-0000EF010000}"/>
    <cellStyle name="Comma 10 6 5" xfId="491" xr:uid="{00000000-0005-0000-0000-0000F0010000}"/>
    <cellStyle name="Comma 10 6 6" xfId="492" xr:uid="{00000000-0005-0000-0000-0000F1010000}"/>
    <cellStyle name="Comma 10 6 7" xfId="493" xr:uid="{00000000-0005-0000-0000-0000F2010000}"/>
    <cellStyle name="Comma 10 6 8" xfId="494" xr:uid="{00000000-0005-0000-0000-0000F3010000}"/>
    <cellStyle name="Comma 10 6 9" xfId="495" xr:uid="{00000000-0005-0000-0000-0000F4010000}"/>
    <cellStyle name="Comma 10 7" xfId="496" xr:uid="{00000000-0005-0000-0000-0000F5010000}"/>
    <cellStyle name="Comma 10 7 10" xfId="497" xr:uid="{00000000-0005-0000-0000-0000F6010000}"/>
    <cellStyle name="Comma 10 7 11" xfId="498" xr:uid="{00000000-0005-0000-0000-0000F7010000}"/>
    <cellStyle name="Comma 10 7 12" xfId="499" xr:uid="{00000000-0005-0000-0000-0000F8010000}"/>
    <cellStyle name="Comma 10 7 13" xfId="500" xr:uid="{00000000-0005-0000-0000-0000F9010000}"/>
    <cellStyle name="Comma 10 7 14" xfId="501" xr:uid="{00000000-0005-0000-0000-0000FA010000}"/>
    <cellStyle name="Comma 10 7 15" xfId="502" xr:uid="{00000000-0005-0000-0000-0000FB010000}"/>
    <cellStyle name="Comma 10 7 16" xfId="503" xr:uid="{00000000-0005-0000-0000-0000FC010000}"/>
    <cellStyle name="Comma 10 7 17" xfId="504" xr:uid="{00000000-0005-0000-0000-0000FD010000}"/>
    <cellStyle name="Comma 10 7 2" xfId="505" xr:uid="{00000000-0005-0000-0000-0000FE010000}"/>
    <cellStyle name="Comma 10 7 3" xfId="506" xr:uid="{00000000-0005-0000-0000-0000FF010000}"/>
    <cellStyle name="Comma 10 7 4" xfId="507" xr:uid="{00000000-0005-0000-0000-000000020000}"/>
    <cellStyle name="Comma 10 7 5" xfId="508" xr:uid="{00000000-0005-0000-0000-000001020000}"/>
    <cellStyle name="Comma 10 7 6" xfId="509" xr:uid="{00000000-0005-0000-0000-000002020000}"/>
    <cellStyle name="Comma 10 7 7" xfId="510" xr:uid="{00000000-0005-0000-0000-000003020000}"/>
    <cellStyle name="Comma 10 7 8" xfId="511" xr:uid="{00000000-0005-0000-0000-000004020000}"/>
    <cellStyle name="Comma 10 7 9" xfId="512" xr:uid="{00000000-0005-0000-0000-000005020000}"/>
    <cellStyle name="Comma 10 8" xfId="513" xr:uid="{00000000-0005-0000-0000-000006020000}"/>
    <cellStyle name="Comma 10 8 10" xfId="514" xr:uid="{00000000-0005-0000-0000-000007020000}"/>
    <cellStyle name="Comma 10 8 11" xfId="515" xr:uid="{00000000-0005-0000-0000-000008020000}"/>
    <cellStyle name="Comma 10 8 12" xfId="516" xr:uid="{00000000-0005-0000-0000-000009020000}"/>
    <cellStyle name="Comma 10 8 13" xfId="517" xr:uid="{00000000-0005-0000-0000-00000A020000}"/>
    <cellStyle name="Comma 10 8 14" xfId="518" xr:uid="{00000000-0005-0000-0000-00000B020000}"/>
    <cellStyle name="Comma 10 8 15" xfId="519" xr:uid="{00000000-0005-0000-0000-00000C020000}"/>
    <cellStyle name="Comma 10 8 16" xfId="520" xr:uid="{00000000-0005-0000-0000-00000D020000}"/>
    <cellStyle name="Comma 10 8 17" xfId="521" xr:uid="{00000000-0005-0000-0000-00000E020000}"/>
    <cellStyle name="Comma 10 8 2" xfId="522" xr:uid="{00000000-0005-0000-0000-00000F020000}"/>
    <cellStyle name="Comma 10 8 3" xfId="523" xr:uid="{00000000-0005-0000-0000-000010020000}"/>
    <cellStyle name="Comma 10 8 4" xfId="524" xr:uid="{00000000-0005-0000-0000-000011020000}"/>
    <cellStyle name="Comma 10 8 5" xfId="525" xr:uid="{00000000-0005-0000-0000-000012020000}"/>
    <cellStyle name="Comma 10 8 6" xfId="526" xr:uid="{00000000-0005-0000-0000-000013020000}"/>
    <cellStyle name="Comma 10 8 7" xfId="527" xr:uid="{00000000-0005-0000-0000-000014020000}"/>
    <cellStyle name="Comma 10 8 8" xfId="528" xr:uid="{00000000-0005-0000-0000-000015020000}"/>
    <cellStyle name="Comma 10 8 9" xfId="529" xr:uid="{00000000-0005-0000-0000-000016020000}"/>
    <cellStyle name="Comma 2" xfId="3" xr:uid="{00000000-0005-0000-0000-000008000000}"/>
    <cellStyle name="Comma 2 10" xfId="530" xr:uid="{00000000-0005-0000-0000-000017020000}"/>
    <cellStyle name="Comma 2 11" xfId="531" xr:uid="{00000000-0005-0000-0000-000018020000}"/>
    <cellStyle name="Comma 2 12" xfId="532" xr:uid="{00000000-0005-0000-0000-000019020000}"/>
    <cellStyle name="Comma 2 13" xfId="533" xr:uid="{00000000-0005-0000-0000-00001A020000}"/>
    <cellStyle name="Comma 2 14" xfId="534" xr:uid="{00000000-0005-0000-0000-00001B020000}"/>
    <cellStyle name="Comma 2 15" xfId="535" xr:uid="{00000000-0005-0000-0000-00001C020000}"/>
    <cellStyle name="Comma 2 16" xfId="536" xr:uid="{00000000-0005-0000-0000-00001D020000}"/>
    <cellStyle name="Comma 2 2" xfId="537" xr:uid="{00000000-0005-0000-0000-00001E020000}"/>
    <cellStyle name="Comma 2 3" xfId="538" xr:uid="{00000000-0005-0000-0000-00001F020000}"/>
    <cellStyle name="Comma 2 4" xfId="539" xr:uid="{00000000-0005-0000-0000-000020020000}"/>
    <cellStyle name="Comma 2 5" xfId="540" xr:uid="{00000000-0005-0000-0000-000021020000}"/>
    <cellStyle name="Comma 2 6" xfId="541" xr:uid="{00000000-0005-0000-0000-000022020000}"/>
    <cellStyle name="Comma 2 7" xfId="542" xr:uid="{00000000-0005-0000-0000-000023020000}"/>
    <cellStyle name="Comma 2 8" xfId="543" xr:uid="{00000000-0005-0000-0000-000024020000}"/>
    <cellStyle name="Comma 2 9" xfId="544" xr:uid="{00000000-0005-0000-0000-000025020000}"/>
    <cellStyle name="Comma 3" xfId="545" xr:uid="{00000000-0005-0000-0000-000026020000}"/>
    <cellStyle name="Comma 3 2" xfId="546" xr:uid="{00000000-0005-0000-0000-000027020000}"/>
    <cellStyle name="Comma 3 3" xfId="547" xr:uid="{00000000-0005-0000-0000-000028020000}"/>
    <cellStyle name="Comma 3 4" xfId="548" xr:uid="{00000000-0005-0000-0000-000029020000}"/>
    <cellStyle name="Comma 3 5" xfId="549" xr:uid="{00000000-0005-0000-0000-00002A020000}"/>
    <cellStyle name="Comma 3 6" xfId="550" xr:uid="{00000000-0005-0000-0000-00002B020000}"/>
    <cellStyle name="Comma 3 7" xfId="551" xr:uid="{00000000-0005-0000-0000-00002C020000}"/>
    <cellStyle name="Comma 3 8" xfId="552" xr:uid="{00000000-0005-0000-0000-00002D020000}"/>
    <cellStyle name="Comma 4" xfId="553" xr:uid="{00000000-0005-0000-0000-00002E020000}"/>
    <cellStyle name="Comma 4 2" xfId="554" xr:uid="{00000000-0005-0000-0000-00002F020000}"/>
    <cellStyle name="Comma 4 3" xfId="555" xr:uid="{00000000-0005-0000-0000-000030020000}"/>
    <cellStyle name="Comma 4 4" xfId="556" xr:uid="{00000000-0005-0000-0000-000031020000}"/>
    <cellStyle name="Comma 4 5" xfId="557" xr:uid="{00000000-0005-0000-0000-000032020000}"/>
    <cellStyle name="Comma 4 6" xfId="558" xr:uid="{00000000-0005-0000-0000-000033020000}"/>
    <cellStyle name="Comma 4 7" xfId="559" xr:uid="{00000000-0005-0000-0000-000034020000}"/>
    <cellStyle name="Comma 4 8" xfId="560" xr:uid="{00000000-0005-0000-0000-000035020000}"/>
    <cellStyle name="Comma 5" xfId="561" xr:uid="{00000000-0005-0000-0000-000036020000}"/>
    <cellStyle name="Comma 5 2" xfId="562" xr:uid="{00000000-0005-0000-0000-000037020000}"/>
    <cellStyle name="Comma 5 3" xfId="563" xr:uid="{00000000-0005-0000-0000-000038020000}"/>
    <cellStyle name="Comma 5 4" xfId="564" xr:uid="{00000000-0005-0000-0000-000039020000}"/>
    <cellStyle name="Comma 5 5" xfId="565" xr:uid="{00000000-0005-0000-0000-00003A020000}"/>
    <cellStyle name="Comma 5 6" xfId="566" xr:uid="{00000000-0005-0000-0000-00003B020000}"/>
    <cellStyle name="Comma 5 7" xfId="567" xr:uid="{00000000-0005-0000-0000-00003C020000}"/>
    <cellStyle name="Comma 5 8" xfId="568" xr:uid="{00000000-0005-0000-0000-00003D020000}"/>
    <cellStyle name="Comma 6" xfId="569" xr:uid="{00000000-0005-0000-0000-00003E020000}"/>
    <cellStyle name="Comma 6 2" xfId="570" xr:uid="{00000000-0005-0000-0000-00003F020000}"/>
    <cellStyle name="Comma 6 3" xfId="571" xr:uid="{00000000-0005-0000-0000-000040020000}"/>
    <cellStyle name="Comma 6 4" xfId="572" xr:uid="{00000000-0005-0000-0000-000041020000}"/>
    <cellStyle name="Comma 6 5" xfId="573" xr:uid="{00000000-0005-0000-0000-000042020000}"/>
    <cellStyle name="Comma 6 6" xfId="574" xr:uid="{00000000-0005-0000-0000-000043020000}"/>
    <cellStyle name="Comma 6 7" xfId="575" xr:uid="{00000000-0005-0000-0000-000044020000}"/>
    <cellStyle name="Comma 6 8" xfId="576" xr:uid="{00000000-0005-0000-0000-000045020000}"/>
    <cellStyle name="Comma 7" xfId="577" xr:uid="{00000000-0005-0000-0000-000046020000}"/>
    <cellStyle name="Comma 7 10" xfId="578" xr:uid="{00000000-0005-0000-0000-000047020000}"/>
    <cellStyle name="Comma 7 11" xfId="579" xr:uid="{00000000-0005-0000-0000-000048020000}"/>
    <cellStyle name="Comma 7 12" xfId="580" xr:uid="{00000000-0005-0000-0000-000049020000}"/>
    <cellStyle name="Comma 7 13" xfId="581" xr:uid="{00000000-0005-0000-0000-00004A020000}"/>
    <cellStyle name="Comma 7 14" xfId="582" xr:uid="{00000000-0005-0000-0000-00004B020000}"/>
    <cellStyle name="Comma 7 15" xfId="583" xr:uid="{00000000-0005-0000-0000-00004C020000}"/>
    <cellStyle name="Comma 7 16" xfId="584" xr:uid="{00000000-0005-0000-0000-00004D020000}"/>
    <cellStyle name="Comma 7 17" xfId="585" xr:uid="{00000000-0005-0000-0000-00004E020000}"/>
    <cellStyle name="Comma 7 18" xfId="586" xr:uid="{00000000-0005-0000-0000-00004F020000}"/>
    <cellStyle name="Comma 7 19" xfId="587" xr:uid="{00000000-0005-0000-0000-000050020000}"/>
    <cellStyle name="Comma 7 2" xfId="588" xr:uid="{00000000-0005-0000-0000-000051020000}"/>
    <cellStyle name="Comma 7 20" xfId="589" xr:uid="{00000000-0005-0000-0000-000052020000}"/>
    <cellStyle name="Comma 7 21" xfId="590" xr:uid="{00000000-0005-0000-0000-000053020000}"/>
    <cellStyle name="Comma 7 3" xfId="591" xr:uid="{00000000-0005-0000-0000-000054020000}"/>
    <cellStyle name="Comma 7 3 10" xfId="592" xr:uid="{00000000-0005-0000-0000-000055020000}"/>
    <cellStyle name="Comma 7 3 11" xfId="593" xr:uid="{00000000-0005-0000-0000-000056020000}"/>
    <cellStyle name="Comma 7 3 12" xfId="594" xr:uid="{00000000-0005-0000-0000-000057020000}"/>
    <cellStyle name="Comma 7 3 13" xfId="595" xr:uid="{00000000-0005-0000-0000-000058020000}"/>
    <cellStyle name="Comma 7 3 14" xfId="596" xr:uid="{00000000-0005-0000-0000-000059020000}"/>
    <cellStyle name="Comma 7 3 15" xfId="597" xr:uid="{00000000-0005-0000-0000-00005A020000}"/>
    <cellStyle name="Comma 7 3 2" xfId="598" xr:uid="{00000000-0005-0000-0000-00005B020000}"/>
    <cellStyle name="Comma 7 3 3" xfId="599" xr:uid="{00000000-0005-0000-0000-00005C020000}"/>
    <cellStyle name="Comma 7 3 4" xfId="600" xr:uid="{00000000-0005-0000-0000-00005D020000}"/>
    <cellStyle name="Comma 7 3 5" xfId="601" xr:uid="{00000000-0005-0000-0000-00005E020000}"/>
    <cellStyle name="Comma 7 3 6" xfId="602" xr:uid="{00000000-0005-0000-0000-00005F020000}"/>
    <cellStyle name="Comma 7 3 7" xfId="603" xr:uid="{00000000-0005-0000-0000-000060020000}"/>
    <cellStyle name="Comma 7 3 8" xfId="604" xr:uid="{00000000-0005-0000-0000-000061020000}"/>
    <cellStyle name="Comma 7 3 9" xfId="605" xr:uid="{00000000-0005-0000-0000-000062020000}"/>
    <cellStyle name="Comma 7 4" xfId="606" xr:uid="{00000000-0005-0000-0000-000063020000}"/>
    <cellStyle name="Comma 7 5" xfId="607" xr:uid="{00000000-0005-0000-0000-000064020000}"/>
    <cellStyle name="Comma 7 6" xfId="608" xr:uid="{00000000-0005-0000-0000-000065020000}"/>
    <cellStyle name="Comma 7 7" xfId="609" xr:uid="{00000000-0005-0000-0000-000066020000}"/>
    <cellStyle name="Comma 7 8" xfId="610" xr:uid="{00000000-0005-0000-0000-000067020000}"/>
    <cellStyle name="Comma 7 9" xfId="611" xr:uid="{00000000-0005-0000-0000-000068020000}"/>
    <cellStyle name="Comma 8" xfId="612" xr:uid="{00000000-0005-0000-0000-000069020000}"/>
    <cellStyle name="Comma 8 2" xfId="613" xr:uid="{00000000-0005-0000-0000-00006A020000}"/>
    <cellStyle name="Comma 8 3" xfId="614" xr:uid="{00000000-0005-0000-0000-00006B020000}"/>
    <cellStyle name="Comma 8 4" xfId="615" xr:uid="{00000000-0005-0000-0000-00006C020000}"/>
    <cellStyle name="Comma 8 5" xfId="616" xr:uid="{00000000-0005-0000-0000-00006D020000}"/>
    <cellStyle name="Comma 8 6" xfId="617" xr:uid="{00000000-0005-0000-0000-00006E020000}"/>
    <cellStyle name="Comma 8 7" xfId="618" xr:uid="{00000000-0005-0000-0000-00006F020000}"/>
    <cellStyle name="Comma 8 8" xfId="619" xr:uid="{00000000-0005-0000-0000-000070020000}"/>
    <cellStyle name="Comma 9 2" xfId="620" xr:uid="{00000000-0005-0000-0000-000071020000}"/>
    <cellStyle name="Comma 9 3" xfId="621" xr:uid="{00000000-0005-0000-0000-000072020000}"/>
    <cellStyle name="Comma 9 4" xfId="622" xr:uid="{00000000-0005-0000-0000-000073020000}"/>
    <cellStyle name="Comma 9 5" xfId="623" xr:uid="{00000000-0005-0000-0000-000074020000}"/>
    <cellStyle name="Comma 9 6" xfId="624" xr:uid="{00000000-0005-0000-0000-000075020000}"/>
    <cellStyle name="Comma 9 7" xfId="625" xr:uid="{00000000-0005-0000-0000-000076020000}"/>
    <cellStyle name="Comma 9 8" xfId="626" xr:uid="{00000000-0005-0000-0000-000077020000}"/>
    <cellStyle name="Comma 9 9" xfId="627" xr:uid="{00000000-0005-0000-0000-000078020000}"/>
    <cellStyle name="Currency 2 2" xfId="628" xr:uid="{00000000-0005-0000-0000-000079020000}"/>
    <cellStyle name="Euro" xfId="629" xr:uid="{00000000-0005-0000-0000-00007A020000}"/>
    <cellStyle name="Euro 2" xfId="630" xr:uid="{00000000-0005-0000-0000-00007B020000}"/>
    <cellStyle name="Euro 2 2" xfId="631" xr:uid="{00000000-0005-0000-0000-00007C020000}"/>
    <cellStyle name="Euro 2 2 2" xfId="632" xr:uid="{00000000-0005-0000-0000-00007D020000}"/>
    <cellStyle name="Explanatory Text 2 10" xfId="633" xr:uid="{00000000-0005-0000-0000-00007E020000}"/>
    <cellStyle name="Explanatory Text 2 2" xfId="634" xr:uid="{00000000-0005-0000-0000-00007F020000}"/>
    <cellStyle name="Explanatory Text 2 3" xfId="635" xr:uid="{00000000-0005-0000-0000-000080020000}"/>
    <cellStyle name="Explanatory Text 2 4" xfId="636" xr:uid="{00000000-0005-0000-0000-000081020000}"/>
    <cellStyle name="Explanatory Text 2 5" xfId="637" xr:uid="{00000000-0005-0000-0000-000082020000}"/>
    <cellStyle name="Explanatory Text 2 6" xfId="638" xr:uid="{00000000-0005-0000-0000-000083020000}"/>
    <cellStyle name="Explanatory Text 2 7" xfId="639" xr:uid="{00000000-0005-0000-0000-000084020000}"/>
    <cellStyle name="Explanatory Text 2 8" xfId="640" xr:uid="{00000000-0005-0000-0000-000085020000}"/>
    <cellStyle name="Explanatory Text 2 9" xfId="641" xr:uid="{00000000-0005-0000-0000-000086020000}"/>
    <cellStyle name="Explanatory Text 3" xfId="642" xr:uid="{00000000-0005-0000-0000-000087020000}"/>
    <cellStyle name="Good 2 10" xfId="643" xr:uid="{00000000-0005-0000-0000-000088020000}"/>
    <cellStyle name="Good 2 2" xfId="644" xr:uid="{00000000-0005-0000-0000-000089020000}"/>
    <cellStyle name="Good 2 3" xfId="645" xr:uid="{00000000-0005-0000-0000-00008A020000}"/>
    <cellStyle name="Good 2 4" xfId="646" xr:uid="{00000000-0005-0000-0000-00008B020000}"/>
    <cellStyle name="Good 2 5" xfId="647" xr:uid="{00000000-0005-0000-0000-00008C020000}"/>
    <cellStyle name="Good 2 6" xfId="648" xr:uid="{00000000-0005-0000-0000-00008D020000}"/>
    <cellStyle name="Good 2 7" xfId="649" xr:uid="{00000000-0005-0000-0000-00008E020000}"/>
    <cellStyle name="Good 2 8" xfId="650" xr:uid="{00000000-0005-0000-0000-00008F020000}"/>
    <cellStyle name="Good 2 9" xfId="651" xr:uid="{00000000-0005-0000-0000-000090020000}"/>
    <cellStyle name="Good 3" xfId="652" xr:uid="{00000000-0005-0000-0000-000091020000}"/>
    <cellStyle name="Heading 1 2 10" xfId="653" xr:uid="{00000000-0005-0000-0000-000092020000}"/>
    <cellStyle name="Heading 1 2 2" xfId="654" xr:uid="{00000000-0005-0000-0000-000093020000}"/>
    <cellStyle name="Heading 1 2 3" xfId="655" xr:uid="{00000000-0005-0000-0000-000094020000}"/>
    <cellStyle name="Heading 1 2 4" xfId="656" xr:uid="{00000000-0005-0000-0000-000095020000}"/>
    <cellStyle name="Heading 1 2 5" xfId="657" xr:uid="{00000000-0005-0000-0000-000096020000}"/>
    <cellStyle name="Heading 1 2 6" xfId="658" xr:uid="{00000000-0005-0000-0000-000097020000}"/>
    <cellStyle name="Heading 1 2 7" xfId="659" xr:uid="{00000000-0005-0000-0000-000098020000}"/>
    <cellStyle name="Heading 1 2 8" xfId="660" xr:uid="{00000000-0005-0000-0000-000099020000}"/>
    <cellStyle name="Heading 1 2 9" xfId="661" xr:uid="{00000000-0005-0000-0000-00009A020000}"/>
    <cellStyle name="Heading 1 3" xfId="662" xr:uid="{00000000-0005-0000-0000-00009B020000}"/>
    <cellStyle name="Heading 2 2 10" xfId="663" xr:uid="{00000000-0005-0000-0000-00009C020000}"/>
    <cellStyle name="Heading 2 2 2" xfId="664" xr:uid="{00000000-0005-0000-0000-00009D020000}"/>
    <cellStyle name="Heading 2 2 3" xfId="665" xr:uid="{00000000-0005-0000-0000-00009E020000}"/>
    <cellStyle name="Heading 2 2 4" xfId="666" xr:uid="{00000000-0005-0000-0000-00009F020000}"/>
    <cellStyle name="Heading 2 2 5" xfId="667" xr:uid="{00000000-0005-0000-0000-0000A0020000}"/>
    <cellStyle name="Heading 2 2 6" xfId="668" xr:uid="{00000000-0005-0000-0000-0000A1020000}"/>
    <cellStyle name="Heading 2 2 7" xfId="669" xr:uid="{00000000-0005-0000-0000-0000A2020000}"/>
    <cellStyle name="Heading 2 2 8" xfId="670" xr:uid="{00000000-0005-0000-0000-0000A3020000}"/>
    <cellStyle name="Heading 2 2 9" xfId="671" xr:uid="{00000000-0005-0000-0000-0000A4020000}"/>
    <cellStyle name="Heading 2 3" xfId="672" xr:uid="{00000000-0005-0000-0000-0000A5020000}"/>
    <cellStyle name="Heading 3 2 10" xfId="673" xr:uid="{00000000-0005-0000-0000-0000A6020000}"/>
    <cellStyle name="Heading 3 2 2" xfId="674" xr:uid="{00000000-0005-0000-0000-0000A7020000}"/>
    <cellStyle name="Heading 3 2 3" xfId="675" xr:uid="{00000000-0005-0000-0000-0000A8020000}"/>
    <cellStyle name="Heading 3 2 4" xfId="676" xr:uid="{00000000-0005-0000-0000-0000A9020000}"/>
    <cellStyle name="Heading 3 2 5" xfId="677" xr:uid="{00000000-0005-0000-0000-0000AA020000}"/>
    <cellStyle name="Heading 3 2 6" xfId="678" xr:uid="{00000000-0005-0000-0000-0000AB020000}"/>
    <cellStyle name="Heading 3 2 7" xfId="679" xr:uid="{00000000-0005-0000-0000-0000AC020000}"/>
    <cellStyle name="Heading 3 2 8" xfId="680" xr:uid="{00000000-0005-0000-0000-0000AD020000}"/>
    <cellStyle name="Heading 3 2 9" xfId="681" xr:uid="{00000000-0005-0000-0000-0000AE020000}"/>
    <cellStyle name="Heading 3 3" xfId="682" xr:uid="{00000000-0005-0000-0000-0000AF020000}"/>
    <cellStyle name="Heading 4 2 10" xfId="683" xr:uid="{00000000-0005-0000-0000-0000B0020000}"/>
    <cellStyle name="Heading 4 2 2" xfId="684" xr:uid="{00000000-0005-0000-0000-0000B1020000}"/>
    <cellStyle name="Heading 4 2 3" xfId="685" xr:uid="{00000000-0005-0000-0000-0000B2020000}"/>
    <cellStyle name="Heading 4 2 4" xfId="686" xr:uid="{00000000-0005-0000-0000-0000B3020000}"/>
    <cellStyle name="Heading 4 2 5" xfId="687" xr:uid="{00000000-0005-0000-0000-0000B4020000}"/>
    <cellStyle name="Heading 4 2 6" xfId="688" xr:uid="{00000000-0005-0000-0000-0000B5020000}"/>
    <cellStyle name="Heading 4 2 7" xfId="689" xr:uid="{00000000-0005-0000-0000-0000B6020000}"/>
    <cellStyle name="Heading 4 2 8" xfId="690" xr:uid="{00000000-0005-0000-0000-0000B7020000}"/>
    <cellStyle name="Heading 4 2 9" xfId="691" xr:uid="{00000000-0005-0000-0000-0000B8020000}"/>
    <cellStyle name="Heading 4 3" xfId="692" xr:uid="{00000000-0005-0000-0000-0000B9020000}"/>
    <cellStyle name="Hyperlink" xfId="1" builtinId="8"/>
    <cellStyle name="Input 2 10" xfId="693" xr:uid="{00000000-0005-0000-0000-0000BA020000}"/>
    <cellStyle name="Input 2 2" xfId="694" xr:uid="{00000000-0005-0000-0000-0000BB020000}"/>
    <cellStyle name="Input 2 3" xfId="695" xr:uid="{00000000-0005-0000-0000-0000BC020000}"/>
    <cellStyle name="Input 2 4" xfId="696" xr:uid="{00000000-0005-0000-0000-0000BD020000}"/>
    <cellStyle name="Input 2 5" xfId="697" xr:uid="{00000000-0005-0000-0000-0000BE020000}"/>
    <cellStyle name="Input 2 6" xfId="698" xr:uid="{00000000-0005-0000-0000-0000BF020000}"/>
    <cellStyle name="Input 2 7" xfId="699" xr:uid="{00000000-0005-0000-0000-0000C0020000}"/>
    <cellStyle name="Input 2 8" xfId="700" xr:uid="{00000000-0005-0000-0000-0000C1020000}"/>
    <cellStyle name="Input 2 9" xfId="701" xr:uid="{00000000-0005-0000-0000-0000C2020000}"/>
    <cellStyle name="Input 3" xfId="702" xr:uid="{00000000-0005-0000-0000-0000C3020000}"/>
    <cellStyle name="Linked Cell 2 10" xfId="703" xr:uid="{00000000-0005-0000-0000-0000C4020000}"/>
    <cellStyle name="Linked Cell 2 2" xfId="704" xr:uid="{00000000-0005-0000-0000-0000C5020000}"/>
    <cellStyle name="Linked Cell 2 3" xfId="705" xr:uid="{00000000-0005-0000-0000-0000C6020000}"/>
    <cellStyle name="Linked Cell 2 4" xfId="706" xr:uid="{00000000-0005-0000-0000-0000C7020000}"/>
    <cellStyle name="Linked Cell 2 5" xfId="707" xr:uid="{00000000-0005-0000-0000-0000C8020000}"/>
    <cellStyle name="Linked Cell 2 6" xfId="708" xr:uid="{00000000-0005-0000-0000-0000C9020000}"/>
    <cellStyle name="Linked Cell 2 7" xfId="709" xr:uid="{00000000-0005-0000-0000-0000CA020000}"/>
    <cellStyle name="Linked Cell 2 8" xfId="710" xr:uid="{00000000-0005-0000-0000-0000CB020000}"/>
    <cellStyle name="Linked Cell 2 9" xfId="711" xr:uid="{00000000-0005-0000-0000-0000CC020000}"/>
    <cellStyle name="Linked Cell 3" xfId="712" xr:uid="{00000000-0005-0000-0000-0000CD020000}"/>
    <cellStyle name="Neutral 2 10" xfId="713" xr:uid="{00000000-0005-0000-0000-0000CE020000}"/>
    <cellStyle name="Neutral 2 2" xfId="714" xr:uid="{00000000-0005-0000-0000-0000CF020000}"/>
    <cellStyle name="Neutral 2 3" xfId="715" xr:uid="{00000000-0005-0000-0000-0000D0020000}"/>
    <cellStyle name="Neutral 2 4" xfId="716" xr:uid="{00000000-0005-0000-0000-0000D1020000}"/>
    <cellStyle name="Neutral 2 5" xfId="717" xr:uid="{00000000-0005-0000-0000-0000D2020000}"/>
    <cellStyle name="Neutral 2 6" xfId="718" xr:uid="{00000000-0005-0000-0000-0000D3020000}"/>
    <cellStyle name="Neutral 2 7" xfId="719" xr:uid="{00000000-0005-0000-0000-0000D4020000}"/>
    <cellStyle name="Neutral 2 8" xfId="720" xr:uid="{00000000-0005-0000-0000-0000D5020000}"/>
    <cellStyle name="Neutral 2 9" xfId="721" xr:uid="{00000000-0005-0000-0000-0000D6020000}"/>
    <cellStyle name="Neutral 3" xfId="722" xr:uid="{00000000-0005-0000-0000-0000D7020000}"/>
    <cellStyle name="Normal" xfId="0" builtinId="0"/>
    <cellStyle name="Normal 10" xfId="723" xr:uid="{00000000-0005-0000-0000-0000D8020000}"/>
    <cellStyle name="Normal 10 2" xfId="724" xr:uid="{00000000-0005-0000-0000-0000D9020000}"/>
    <cellStyle name="Normal 10 3" xfId="725" xr:uid="{00000000-0005-0000-0000-0000DA020000}"/>
    <cellStyle name="Normal 10 4" xfId="726" xr:uid="{00000000-0005-0000-0000-0000DB020000}"/>
    <cellStyle name="Normal 10 5" xfId="727" xr:uid="{00000000-0005-0000-0000-0000DC020000}"/>
    <cellStyle name="Normal 10 6" xfId="728" xr:uid="{00000000-0005-0000-0000-0000DD020000}"/>
    <cellStyle name="Normal 10 7" xfId="729" xr:uid="{00000000-0005-0000-0000-0000DE020000}"/>
    <cellStyle name="Normal 10 8" xfId="730" xr:uid="{00000000-0005-0000-0000-0000DF020000}"/>
    <cellStyle name="Normal 11" xfId="731" xr:uid="{00000000-0005-0000-0000-0000E0020000}"/>
    <cellStyle name="Normal 11 2" xfId="732" xr:uid="{00000000-0005-0000-0000-0000E1020000}"/>
    <cellStyle name="Normal 11 3" xfId="733" xr:uid="{00000000-0005-0000-0000-0000E2020000}"/>
    <cellStyle name="Normal 11 4" xfId="734" xr:uid="{00000000-0005-0000-0000-0000E3020000}"/>
    <cellStyle name="Normal 11 5" xfId="735" xr:uid="{00000000-0005-0000-0000-0000E4020000}"/>
    <cellStyle name="Normal 11 6" xfId="736" xr:uid="{00000000-0005-0000-0000-0000E5020000}"/>
    <cellStyle name="Normal 11 7" xfId="737" xr:uid="{00000000-0005-0000-0000-0000E6020000}"/>
    <cellStyle name="Normal 11 8" xfId="738" xr:uid="{00000000-0005-0000-0000-0000E7020000}"/>
    <cellStyle name="Normal 12" xfId="739" xr:uid="{00000000-0005-0000-0000-0000E8020000}"/>
    <cellStyle name="Normal 12 2" xfId="740" xr:uid="{00000000-0005-0000-0000-0000E9020000}"/>
    <cellStyle name="Normal 12 3" xfId="741" xr:uid="{00000000-0005-0000-0000-0000EA020000}"/>
    <cellStyle name="Normal 12 4" xfId="742" xr:uid="{00000000-0005-0000-0000-0000EB020000}"/>
    <cellStyle name="Normal 12 5" xfId="743" xr:uid="{00000000-0005-0000-0000-0000EC020000}"/>
    <cellStyle name="Normal 12 6" xfId="744" xr:uid="{00000000-0005-0000-0000-0000ED020000}"/>
    <cellStyle name="Normal 12 7" xfId="745" xr:uid="{00000000-0005-0000-0000-0000EE020000}"/>
    <cellStyle name="Normal 12 8" xfId="746" xr:uid="{00000000-0005-0000-0000-0000EF020000}"/>
    <cellStyle name="Normal 13" xfId="747" xr:uid="{00000000-0005-0000-0000-0000F0020000}"/>
    <cellStyle name="Normal 13 10" xfId="748" xr:uid="{00000000-0005-0000-0000-0000F1020000}"/>
    <cellStyle name="Normal 13 11" xfId="749" xr:uid="{00000000-0005-0000-0000-0000F2020000}"/>
    <cellStyle name="Normal 13 12" xfId="750" xr:uid="{00000000-0005-0000-0000-0000F3020000}"/>
    <cellStyle name="Normal 13 13" xfId="751" xr:uid="{00000000-0005-0000-0000-0000F4020000}"/>
    <cellStyle name="Normal 13 14" xfId="752" xr:uid="{00000000-0005-0000-0000-0000F5020000}"/>
    <cellStyle name="Normal 13 15" xfId="753" xr:uid="{00000000-0005-0000-0000-0000F6020000}"/>
    <cellStyle name="Normal 13 16" xfId="754" xr:uid="{00000000-0005-0000-0000-0000F7020000}"/>
    <cellStyle name="Normal 13 17" xfId="755" xr:uid="{00000000-0005-0000-0000-0000F8020000}"/>
    <cellStyle name="Normal 13 18" xfId="756" xr:uid="{00000000-0005-0000-0000-0000F9020000}"/>
    <cellStyle name="Normal 13 19" xfId="757" xr:uid="{00000000-0005-0000-0000-0000FA020000}"/>
    <cellStyle name="Normal 13 2" xfId="758" xr:uid="{00000000-0005-0000-0000-0000FB020000}"/>
    <cellStyle name="Normal 13 2 2" xfId="759" xr:uid="{00000000-0005-0000-0000-0000FC020000}"/>
    <cellStyle name="Normal 13 2 3" xfId="760" xr:uid="{00000000-0005-0000-0000-0000FD020000}"/>
    <cellStyle name="Normal 13 2 4" xfId="761" xr:uid="{00000000-0005-0000-0000-0000FE020000}"/>
    <cellStyle name="Normal 13 2 5" xfId="762" xr:uid="{00000000-0005-0000-0000-0000FF020000}"/>
    <cellStyle name="Normal 13 2 6" xfId="763" xr:uid="{00000000-0005-0000-0000-000000030000}"/>
    <cellStyle name="Normal 13 2 7" xfId="764" xr:uid="{00000000-0005-0000-0000-000001030000}"/>
    <cellStyle name="Normal 13 2 8" xfId="765" xr:uid="{00000000-0005-0000-0000-000002030000}"/>
    <cellStyle name="Normal 13 20" xfId="766" xr:uid="{00000000-0005-0000-0000-000003030000}"/>
    <cellStyle name="Normal 13 21" xfId="767" xr:uid="{00000000-0005-0000-0000-000004030000}"/>
    <cellStyle name="Normal 13 22" xfId="768" xr:uid="{00000000-0005-0000-0000-000005030000}"/>
    <cellStyle name="Normal 13 23" xfId="769" xr:uid="{00000000-0005-0000-0000-000006030000}"/>
    <cellStyle name="Normal 13 24" xfId="770" xr:uid="{00000000-0005-0000-0000-000007030000}"/>
    <cellStyle name="Normal 13 25" xfId="771" xr:uid="{00000000-0005-0000-0000-000008030000}"/>
    <cellStyle name="Normal 13 26" xfId="772" xr:uid="{00000000-0005-0000-0000-000009030000}"/>
    <cellStyle name="Normal 13 27" xfId="773" xr:uid="{00000000-0005-0000-0000-00000A030000}"/>
    <cellStyle name="Normal 13 28" xfId="774" xr:uid="{00000000-0005-0000-0000-00000B030000}"/>
    <cellStyle name="Normal 13 29" xfId="775" xr:uid="{00000000-0005-0000-0000-00000C030000}"/>
    <cellStyle name="Normal 13 3" xfId="776" xr:uid="{00000000-0005-0000-0000-00000D030000}"/>
    <cellStyle name="Normal 13 30" xfId="777" xr:uid="{00000000-0005-0000-0000-00000E030000}"/>
    <cellStyle name="Normal 13 31" xfId="778" xr:uid="{00000000-0005-0000-0000-00000F030000}"/>
    <cellStyle name="Normal 13 32" xfId="779" xr:uid="{00000000-0005-0000-0000-000010030000}"/>
    <cellStyle name="Normal 13 33" xfId="780" xr:uid="{00000000-0005-0000-0000-000011030000}"/>
    <cellStyle name="Normal 13 34" xfId="781" xr:uid="{00000000-0005-0000-0000-000012030000}"/>
    <cellStyle name="Normal 13 35" xfId="782" xr:uid="{00000000-0005-0000-0000-000013030000}"/>
    <cellStyle name="Normal 13 36" xfId="783" xr:uid="{00000000-0005-0000-0000-000014030000}"/>
    <cellStyle name="Normal 13 37" xfId="784" xr:uid="{00000000-0005-0000-0000-000015030000}"/>
    <cellStyle name="Normal 13 38" xfId="785" xr:uid="{00000000-0005-0000-0000-000016030000}"/>
    <cellStyle name="Normal 13 4" xfId="786" xr:uid="{00000000-0005-0000-0000-000017030000}"/>
    <cellStyle name="Normal 13 5" xfId="787" xr:uid="{00000000-0005-0000-0000-000018030000}"/>
    <cellStyle name="Normal 13 6" xfId="788" xr:uid="{00000000-0005-0000-0000-000019030000}"/>
    <cellStyle name="Normal 13 7" xfId="789" xr:uid="{00000000-0005-0000-0000-00001A030000}"/>
    <cellStyle name="Normal 13 8" xfId="790" xr:uid="{00000000-0005-0000-0000-00001B030000}"/>
    <cellStyle name="Normal 13 9" xfId="791" xr:uid="{00000000-0005-0000-0000-00001C030000}"/>
    <cellStyle name="Normal 14" xfId="792" xr:uid="{00000000-0005-0000-0000-00001D030000}"/>
    <cellStyle name="Normal 14 10" xfId="793" xr:uid="{00000000-0005-0000-0000-00001E030000}"/>
    <cellStyle name="Normal 14 11" xfId="794" xr:uid="{00000000-0005-0000-0000-00001F030000}"/>
    <cellStyle name="Normal 14 12" xfId="795" xr:uid="{00000000-0005-0000-0000-000020030000}"/>
    <cellStyle name="Normal 14 13" xfId="796" xr:uid="{00000000-0005-0000-0000-000021030000}"/>
    <cellStyle name="Normal 14 14" xfId="797" xr:uid="{00000000-0005-0000-0000-000022030000}"/>
    <cellStyle name="Normal 14 15" xfId="798" xr:uid="{00000000-0005-0000-0000-000023030000}"/>
    <cellStyle name="Normal 14 2" xfId="799" xr:uid="{00000000-0005-0000-0000-000024030000}"/>
    <cellStyle name="Normal 14 2 2" xfId="800" xr:uid="{00000000-0005-0000-0000-000025030000}"/>
    <cellStyle name="Normal 14 2 3" xfId="801" xr:uid="{00000000-0005-0000-0000-000026030000}"/>
    <cellStyle name="Normal 14 2 4" xfId="802" xr:uid="{00000000-0005-0000-0000-000027030000}"/>
    <cellStyle name="Normal 14 2 5" xfId="803" xr:uid="{00000000-0005-0000-0000-000028030000}"/>
    <cellStyle name="Normal 14 2 6" xfId="804" xr:uid="{00000000-0005-0000-0000-000029030000}"/>
    <cellStyle name="Normal 14 2 7" xfId="805" xr:uid="{00000000-0005-0000-0000-00002A030000}"/>
    <cellStyle name="Normal 14 3" xfId="806" xr:uid="{00000000-0005-0000-0000-00002B030000}"/>
    <cellStyle name="Normal 14 4" xfId="807" xr:uid="{00000000-0005-0000-0000-00002C030000}"/>
    <cellStyle name="Normal 14 5" xfId="808" xr:uid="{00000000-0005-0000-0000-00002D030000}"/>
    <cellStyle name="Normal 14 6" xfId="809" xr:uid="{00000000-0005-0000-0000-00002E030000}"/>
    <cellStyle name="Normal 14 7" xfId="810" xr:uid="{00000000-0005-0000-0000-00002F030000}"/>
    <cellStyle name="Normal 14 8" xfId="811" xr:uid="{00000000-0005-0000-0000-000030030000}"/>
    <cellStyle name="Normal 14 9" xfId="812" xr:uid="{00000000-0005-0000-0000-000031030000}"/>
    <cellStyle name="Normal 15" xfId="813" xr:uid="{00000000-0005-0000-0000-000032030000}"/>
    <cellStyle name="Normal 15 2" xfId="814" xr:uid="{00000000-0005-0000-0000-000033030000}"/>
    <cellStyle name="Normal 15 3" xfId="815" xr:uid="{00000000-0005-0000-0000-000034030000}"/>
    <cellStyle name="Normal 15 4" xfId="816" xr:uid="{00000000-0005-0000-0000-000035030000}"/>
    <cellStyle name="Normal 15 5" xfId="817" xr:uid="{00000000-0005-0000-0000-000036030000}"/>
    <cellStyle name="Normal 15 6" xfId="818" xr:uid="{00000000-0005-0000-0000-000037030000}"/>
    <cellStyle name="Normal 16" xfId="819" xr:uid="{00000000-0005-0000-0000-000038030000}"/>
    <cellStyle name="Normal 16 2" xfId="820" xr:uid="{00000000-0005-0000-0000-000039030000}"/>
    <cellStyle name="Normal 16 3" xfId="821" xr:uid="{00000000-0005-0000-0000-00003A030000}"/>
    <cellStyle name="Normal 16 4" xfId="822" xr:uid="{00000000-0005-0000-0000-00003B030000}"/>
    <cellStyle name="Normal 16 5" xfId="823" xr:uid="{00000000-0005-0000-0000-00003C030000}"/>
    <cellStyle name="Normal 16 6" xfId="824" xr:uid="{00000000-0005-0000-0000-00003D030000}"/>
    <cellStyle name="Normal 17" xfId="825" xr:uid="{00000000-0005-0000-0000-00003E030000}"/>
    <cellStyle name="Normal 17 10" xfId="826" xr:uid="{00000000-0005-0000-0000-00003F030000}"/>
    <cellStyle name="Normal 17 11" xfId="827" xr:uid="{00000000-0005-0000-0000-000040030000}"/>
    <cellStyle name="Normal 17 12" xfId="828" xr:uid="{00000000-0005-0000-0000-000041030000}"/>
    <cellStyle name="Normal 17 13" xfId="829" xr:uid="{00000000-0005-0000-0000-000042030000}"/>
    <cellStyle name="Normal 17 2" xfId="830" xr:uid="{00000000-0005-0000-0000-000043030000}"/>
    <cellStyle name="Normal 17 3" xfId="831" xr:uid="{00000000-0005-0000-0000-000044030000}"/>
    <cellStyle name="Normal 17 4" xfId="832" xr:uid="{00000000-0005-0000-0000-000045030000}"/>
    <cellStyle name="Normal 17 5" xfId="833" xr:uid="{00000000-0005-0000-0000-000046030000}"/>
    <cellStyle name="Normal 17 6" xfId="834" xr:uid="{00000000-0005-0000-0000-000047030000}"/>
    <cellStyle name="Normal 17 7" xfId="835" xr:uid="{00000000-0005-0000-0000-000048030000}"/>
    <cellStyle name="Normal 17 8" xfId="836" xr:uid="{00000000-0005-0000-0000-000049030000}"/>
    <cellStyle name="Normal 17 9" xfId="837" xr:uid="{00000000-0005-0000-0000-00004A030000}"/>
    <cellStyle name="Normal 18" xfId="838" xr:uid="{00000000-0005-0000-0000-00004B030000}"/>
    <cellStyle name="Normal 19" xfId="10" xr:uid="{00000000-0005-0000-0000-00000F000000}"/>
    <cellStyle name="Normal 2" xfId="2" xr:uid="{00000000-0005-0000-0000-000007000000}"/>
    <cellStyle name="Normal 2 10" xfId="11" xr:uid="{00000000-0005-0000-0000-000010000000}"/>
    <cellStyle name="Normal 2 11" xfId="839" xr:uid="{00000000-0005-0000-0000-00004C030000}"/>
    <cellStyle name="Normal 2 12" xfId="840" xr:uid="{00000000-0005-0000-0000-00004D030000}"/>
    <cellStyle name="Normal 2 13" xfId="841" xr:uid="{00000000-0005-0000-0000-00004E030000}"/>
    <cellStyle name="Normal 2 14" xfId="842" xr:uid="{00000000-0005-0000-0000-00004F030000}"/>
    <cellStyle name="Normal 2 15" xfId="843" xr:uid="{00000000-0005-0000-0000-000050030000}"/>
    <cellStyle name="Normal 2 16" xfId="844" xr:uid="{00000000-0005-0000-0000-000051030000}"/>
    <cellStyle name="Normal 2 17" xfId="845" xr:uid="{00000000-0005-0000-0000-000052030000}"/>
    <cellStyle name="Normal 2 18" xfId="1624" xr:uid="{00000000-0005-0000-0000-00005D060000}"/>
    <cellStyle name="Normal 2 2" xfId="846" xr:uid="{00000000-0005-0000-0000-000053030000}"/>
    <cellStyle name="Normal 2 2 10" xfId="847" xr:uid="{00000000-0005-0000-0000-000054030000}"/>
    <cellStyle name="Normal 2 2 11" xfId="848" xr:uid="{00000000-0005-0000-0000-000055030000}"/>
    <cellStyle name="Normal 2 2 12" xfId="849" xr:uid="{00000000-0005-0000-0000-000056030000}"/>
    <cellStyle name="Normal 2 2 13" xfId="850" xr:uid="{00000000-0005-0000-0000-000057030000}"/>
    <cellStyle name="Normal 2 2 2" xfId="851" xr:uid="{00000000-0005-0000-0000-000058030000}"/>
    <cellStyle name="Normal 2 2 3" xfId="852" xr:uid="{00000000-0005-0000-0000-000059030000}"/>
    <cellStyle name="Normal 2 2 4" xfId="853" xr:uid="{00000000-0005-0000-0000-00005A030000}"/>
    <cellStyle name="Normal 2 2 5" xfId="854" xr:uid="{00000000-0005-0000-0000-00005B030000}"/>
    <cellStyle name="Normal 2 2 6" xfId="855" xr:uid="{00000000-0005-0000-0000-00005C030000}"/>
    <cellStyle name="Normal 2 2 7" xfId="856" xr:uid="{00000000-0005-0000-0000-00005D030000}"/>
    <cellStyle name="Normal 2 2 8" xfId="857" xr:uid="{00000000-0005-0000-0000-00005E030000}"/>
    <cellStyle name="Normal 2 2 9" xfId="858" xr:uid="{00000000-0005-0000-0000-00005F030000}"/>
    <cellStyle name="Normal 2 3" xfId="859" xr:uid="{00000000-0005-0000-0000-000060030000}"/>
    <cellStyle name="Normal 2 3 10" xfId="860" xr:uid="{00000000-0005-0000-0000-000061030000}"/>
    <cellStyle name="Normal 2 3 11" xfId="861" xr:uid="{00000000-0005-0000-0000-000062030000}"/>
    <cellStyle name="Normal 2 3 12" xfId="862" xr:uid="{00000000-0005-0000-0000-000063030000}"/>
    <cellStyle name="Normal 2 3 13" xfId="863" xr:uid="{00000000-0005-0000-0000-000064030000}"/>
    <cellStyle name="Normal 2 3 2" xfId="864" xr:uid="{00000000-0005-0000-0000-000065030000}"/>
    <cellStyle name="Normal 2 3 3" xfId="865" xr:uid="{00000000-0005-0000-0000-000066030000}"/>
    <cellStyle name="Normal 2 3 4" xfId="866" xr:uid="{00000000-0005-0000-0000-000067030000}"/>
    <cellStyle name="Normal 2 3 5" xfId="867" xr:uid="{00000000-0005-0000-0000-000068030000}"/>
    <cellStyle name="Normal 2 3 6" xfId="868" xr:uid="{00000000-0005-0000-0000-000069030000}"/>
    <cellStyle name="Normal 2 3 7" xfId="869" xr:uid="{00000000-0005-0000-0000-00006A030000}"/>
    <cellStyle name="Normal 2 3 8" xfId="870" xr:uid="{00000000-0005-0000-0000-00006B030000}"/>
    <cellStyle name="Normal 2 3 9" xfId="871" xr:uid="{00000000-0005-0000-0000-00006C030000}"/>
    <cellStyle name="Normal 2 4" xfId="872" xr:uid="{00000000-0005-0000-0000-00006D030000}"/>
    <cellStyle name="Normal 2 4 10" xfId="873" xr:uid="{00000000-0005-0000-0000-00006E030000}"/>
    <cellStyle name="Normal 2 4 11" xfId="874" xr:uid="{00000000-0005-0000-0000-00006F030000}"/>
    <cellStyle name="Normal 2 4 12" xfId="875" xr:uid="{00000000-0005-0000-0000-000070030000}"/>
    <cellStyle name="Normal 2 4 13" xfId="876" xr:uid="{00000000-0005-0000-0000-000071030000}"/>
    <cellStyle name="Normal 2 4 2" xfId="877" xr:uid="{00000000-0005-0000-0000-000072030000}"/>
    <cellStyle name="Normal 2 4 3" xfId="878" xr:uid="{00000000-0005-0000-0000-000073030000}"/>
    <cellStyle name="Normal 2 4 4" xfId="879" xr:uid="{00000000-0005-0000-0000-000074030000}"/>
    <cellStyle name="Normal 2 4 5" xfId="880" xr:uid="{00000000-0005-0000-0000-000075030000}"/>
    <cellStyle name="Normal 2 4 6" xfId="881" xr:uid="{00000000-0005-0000-0000-000076030000}"/>
    <cellStyle name="Normal 2 4 7" xfId="882" xr:uid="{00000000-0005-0000-0000-000077030000}"/>
    <cellStyle name="Normal 2 4 8" xfId="883" xr:uid="{00000000-0005-0000-0000-000078030000}"/>
    <cellStyle name="Normal 2 4 9" xfId="884" xr:uid="{00000000-0005-0000-0000-000079030000}"/>
    <cellStyle name="Normal 2 5" xfId="885" xr:uid="{00000000-0005-0000-0000-00007A030000}"/>
    <cellStyle name="Normal 2 6" xfId="886" xr:uid="{00000000-0005-0000-0000-00007B030000}"/>
    <cellStyle name="Normal 2 7" xfId="887" xr:uid="{00000000-0005-0000-0000-00007C030000}"/>
    <cellStyle name="Normal 2 8" xfId="888" xr:uid="{00000000-0005-0000-0000-00007D030000}"/>
    <cellStyle name="Normal 2 9" xfId="889" xr:uid="{00000000-0005-0000-0000-00007E030000}"/>
    <cellStyle name="Normal 20" xfId="890" xr:uid="{00000000-0005-0000-0000-00007F030000}"/>
    <cellStyle name="Normal 21" xfId="1623" xr:uid="{00000000-0005-0000-0000-00005C060000}"/>
    <cellStyle name="Normal 23" xfId="1626" xr:uid="{00000000-0005-0000-0000-00005F060000}"/>
    <cellStyle name="Normal 26" xfId="891" xr:uid="{00000000-0005-0000-0000-000080030000}"/>
    <cellStyle name="Normal 29" xfId="9" xr:uid="{00000000-0005-0000-0000-00000E000000}"/>
    <cellStyle name="Normal 3" xfId="5" xr:uid="{00000000-0005-0000-0000-00000A000000}"/>
    <cellStyle name="Normal 3 10" xfId="892" xr:uid="{00000000-0005-0000-0000-000081030000}"/>
    <cellStyle name="Normal 3 11" xfId="893" xr:uid="{00000000-0005-0000-0000-000082030000}"/>
    <cellStyle name="Normal 3 12" xfId="894" xr:uid="{00000000-0005-0000-0000-000083030000}"/>
    <cellStyle name="Normal 3 2" xfId="895" xr:uid="{00000000-0005-0000-0000-000084030000}"/>
    <cellStyle name="Normal 3 2 2" xfId="896" xr:uid="{00000000-0005-0000-0000-000085030000}"/>
    <cellStyle name="Normal 3 2 3" xfId="897" xr:uid="{00000000-0005-0000-0000-000086030000}"/>
    <cellStyle name="Normal 3 2 4" xfId="898" xr:uid="{00000000-0005-0000-0000-000087030000}"/>
    <cellStyle name="Normal 3 2 5" xfId="899" xr:uid="{00000000-0005-0000-0000-000088030000}"/>
    <cellStyle name="Normal 3 2 6" xfId="900" xr:uid="{00000000-0005-0000-0000-000089030000}"/>
    <cellStyle name="Normal 3 2 7" xfId="901" xr:uid="{00000000-0005-0000-0000-00008A030000}"/>
    <cellStyle name="Normal 3 2 8" xfId="902" xr:uid="{00000000-0005-0000-0000-00008B030000}"/>
    <cellStyle name="Normal 3 3" xfId="903" xr:uid="{00000000-0005-0000-0000-00008C030000}"/>
    <cellStyle name="Normal 3 3 2" xfId="904" xr:uid="{00000000-0005-0000-0000-00008D030000}"/>
    <cellStyle name="Normal 3 3 3" xfId="905" xr:uid="{00000000-0005-0000-0000-00008E030000}"/>
    <cellStyle name="Normal 3 3 4" xfId="906" xr:uid="{00000000-0005-0000-0000-00008F030000}"/>
    <cellStyle name="Normal 3 3 5" xfId="907" xr:uid="{00000000-0005-0000-0000-000090030000}"/>
    <cellStyle name="Normal 3 3 6" xfId="908" xr:uid="{00000000-0005-0000-0000-000091030000}"/>
    <cellStyle name="Normal 3 3 7" xfId="909" xr:uid="{00000000-0005-0000-0000-000092030000}"/>
    <cellStyle name="Normal 3 3 8" xfId="910" xr:uid="{00000000-0005-0000-0000-000093030000}"/>
    <cellStyle name="Normal 3 4" xfId="911" xr:uid="{00000000-0005-0000-0000-000094030000}"/>
    <cellStyle name="Normal 3 4 2" xfId="912" xr:uid="{00000000-0005-0000-0000-000095030000}"/>
    <cellStyle name="Normal 3 4 3" xfId="913" xr:uid="{00000000-0005-0000-0000-000096030000}"/>
    <cellStyle name="Normal 3 4 4" xfId="914" xr:uid="{00000000-0005-0000-0000-000097030000}"/>
    <cellStyle name="Normal 3 4 5" xfId="915" xr:uid="{00000000-0005-0000-0000-000098030000}"/>
    <cellStyle name="Normal 3 4 6" xfId="916" xr:uid="{00000000-0005-0000-0000-000099030000}"/>
    <cellStyle name="Normal 3 4 7" xfId="917" xr:uid="{00000000-0005-0000-0000-00009A030000}"/>
    <cellStyle name="Normal 3 4 8" xfId="918" xr:uid="{00000000-0005-0000-0000-00009B030000}"/>
    <cellStyle name="Normal 3 5" xfId="919" xr:uid="{00000000-0005-0000-0000-00009C030000}"/>
    <cellStyle name="Normal 3 5 2" xfId="920" xr:uid="{00000000-0005-0000-0000-00009D030000}"/>
    <cellStyle name="Normal 3 5 3" xfId="921" xr:uid="{00000000-0005-0000-0000-00009E030000}"/>
    <cellStyle name="Normal 3 5 4" xfId="922" xr:uid="{00000000-0005-0000-0000-00009F030000}"/>
    <cellStyle name="Normal 3 5 5" xfId="923" xr:uid="{00000000-0005-0000-0000-0000A0030000}"/>
    <cellStyle name="Normal 3 5 6" xfId="924" xr:uid="{00000000-0005-0000-0000-0000A1030000}"/>
    <cellStyle name="Normal 3 5 7" xfId="925" xr:uid="{00000000-0005-0000-0000-0000A2030000}"/>
    <cellStyle name="Normal 3 5 8" xfId="926" xr:uid="{00000000-0005-0000-0000-0000A3030000}"/>
    <cellStyle name="Normal 3 6" xfId="927" xr:uid="{00000000-0005-0000-0000-0000A4030000}"/>
    <cellStyle name="Normal 3 7" xfId="928" xr:uid="{00000000-0005-0000-0000-0000A5030000}"/>
    <cellStyle name="Normal 3 8" xfId="929" xr:uid="{00000000-0005-0000-0000-0000A6030000}"/>
    <cellStyle name="Normal 3 9" xfId="930" xr:uid="{00000000-0005-0000-0000-0000A7030000}"/>
    <cellStyle name="Normal 30" xfId="8" xr:uid="{00000000-0005-0000-0000-00000D000000}"/>
    <cellStyle name="Normal 4" xfId="6" xr:uid="{00000000-0005-0000-0000-00000B000000}"/>
    <cellStyle name="Normal 4 10" xfId="931" xr:uid="{00000000-0005-0000-0000-0000A8030000}"/>
    <cellStyle name="Normal 4 11" xfId="932" xr:uid="{00000000-0005-0000-0000-0000A9030000}"/>
    <cellStyle name="Normal 4 12" xfId="933" xr:uid="{00000000-0005-0000-0000-0000AA030000}"/>
    <cellStyle name="Normal 4 2" xfId="934" xr:uid="{00000000-0005-0000-0000-0000AB030000}"/>
    <cellStyle name="Normal 4 2 2" xfId="935" xr:uid="{00000000-0005-0000-0000-0000AC030000}"/>
    <cellStyle name="Normal 4 2 2 10" xfId="936" xr:uid="{00000000-0005-0000-0000-0000AD030000}"/>
    <cellStyle name="Normal 4 2 2 11" xfId="937" xr:uid="{00000000-0005-0000-0000-0000AE030000}"/>
    <cellStyle name="Normal 4 2 2 12" xfId="938" xr:uid="{00000000-0005-0000-0000-0000AF030000}"/>
    <cellStyle name="Normal 4 2 2 13" xfId="939" xr:uid="{00000000-0005-0000-0000-0000B0030000}"/>
    <cellStyle name="Normal 4 2 2 2" xfId="940" xr:uid="{00000000-0005-0000-0000-0000B1030000}"/>
    <cellStyle name="Normal 4 2 2 2 10" xfId="941" xr:uid="{00000000-0005-0000-0000-0000B2030000}"/>
    <cellStyle name="Normal 4 2 2 2 11" xfId="942" xr:uid="{00000000-0005-0000-0000-0000B3030000}"/>
    <cellStyle name="Normal 4 2 2 2 12" xfId="943" xr:uid="{00000000-0005-0000-0000-0000B4030000}"/>
    <cellStyle name="Normal 4 2 2 2 13" xfId="944" xr:uid="{00000000-0005-0000-0000-0000B5030000}"/>
    <cellStyle name="Normal 4 2 2 2 2" xfId="945" xr:uid="{00000000-0005-0000-0000-0000B6030000}"/>
    <cellStyle name="Normal 4 2 2 2 3" xfId="946" xr:uid="{00000000-0005-0000-0000-0000B7030000}"/>
    <cellStyle name="Normal 4 2 2 2 4" xfId="947" xr:uid="{00000000-0005-0000-0000-0000B8030000}"/>
    <cellStyle name="Normal 4 2 2 2 5" xfId="948" xr:uid="{00000000-0005-0000-0000-0000B9030000}"/>
    <cellStyle name="Normal 4 2 2 2 6" xfId="949" xr:uid="{00000000-0005-0000-0000-0000BA030000}"/>
    <cellStyle name="Normal 4 2 2 2 7" xfId="950" xr:uid="{00000000-0005-0000-0000-0000BB030000}"/>
    <cellStyle name="Normal 4 2 2 2 8" xfId="951" xr:uid="{00000000-0005-0000-0000-0000BC030000}"/>
    <cellStyle name="Normal 4 2 2 2 9" xfId="952" xr:uid="{00000000-0005-0000-0000-0000BD030000}"/>
    <cellStyle name="Normal 4 2 2 3" xfId="953" xr:uid="{00000000-0005-0000-0000-0000BE030000}"/>
    <cellStyle name="Normal 4 2 2 4" xfId="954" xr:uid="{00000000-0005-0000-0000-0000BF030000}"/>
    <cellStyle name="Normal 4 2 2 5" xfId="955" xr:uid="{00000000-0005-0000-0000-0000C0030000}"/>
    <cellStyle name="Normal 4 2 2 6" xfId="956" xr:uid="{00000000-0005-0000-0000-0000C1030000}"/>
    <cellStyle name="Normal 4 2 2 7" xfId="957" xr:uid="{00000000-0005-0000-0000-0000C2030000}"/>
    <cellStyle name="Normal 4 2 2 8" xfId="958" xr:uid="{00000000-0005-0000-0000-0000C3030000}"/>
    <cellStyle name="Normal 4 2 2 9" xfId="959" xr:uid="{00000000-0005-0000-0000-0000C4030000}"/>
    <cellStyle name="Normal 4 2 3" xfId="960" xr:uid="{00000000-0005-0000-0000-0000C5030000}"/>
    <cellStyle name="Normal 4 2 4" xfId="961" xr:uid="{00000000-0005-0000-0000-0000C6030000}"/>
    <cellStyle name="Normal 4 2 5" xfId="962" xr:uid="{00000000-0005-0000-0000-0000C7030000}"/>
    <cellStyle name="Normal 4 2 6" xfId="963" xr:uid="{00000000-0005-0000-0000-0000C8030000}"/>
    <cellStyle name="Normal 4 2 7" xfId="964" xr:uid="{00000000-0005-0000-0000-0000C9030000}"/>
    <cellStyle name="Normal 4 2 8" xfId="965" xr:uid="{00000000-0005-0000-0000-0000CA030000}"/>
    <cellStyle name="Normal 4 3" xfId="966" xr:uid="{00000000-0005-0000-0000-0000CB030000}"/>
    <cellStyle name="Normal 4 3 2" xfId="967" xr:uid="{00000000-0005-0000-0000-0000CC030000}"/>
    <cellStyle name="Normal 4 3 3" xfId="968" xr:uid="{00000000-0005-0000-0000-0000CD030000}"/>
    <cellStyle name="Normal 4 3 4" xfId="969" xr:uid="{00000000-0005-0000-0000-0000CE030000}"/>
    <cellStyle name="Normal 4 3 5" xfId="970" xr:uid="{00000000-0005-0000-0000-0000CF030000}"/>
    <cellStyle name="Normal 4 3 6" xfId="971" xr:uid="{00000000-0005-0000-0000-0000D0030000}"/>
    <cellStyle name="Normal 4 3 7" xfId="972" xr:uid="{00000000-0005-0000-0000-0000D1030000}"/>
    <cellStyle name="Normal 4 3 8" xfId="973" xr:uid="{00000000-0005-0000-0000-0000D2030000}"/>
    <cellStyle name="Normal 4 4" xfId="974" xr:uid="{00000000-0005-0000-0000-0000D3030000}"/>
    <cellStyle name="Normal 4 4 2" xfId="975" xr:uid="{00000000-0005-0000-0000-0000D4030000}"/>
    <cellStyle name="Normal 4 4 3" xfId="976" xr:uid="{00000000-0005-0000-0000-0000D5030000}"/>
    <cellStyle name="Normal 4 4 4" xfId="977" xr:uid="{00000000-0005-0000-0000-0000D6030000}"/>
    <cellStyle name="Normal 4 4 5" xfId="978" xr:uid="{00000000-0005-0000-0000-0000D7030000}"/>
    <cellStyle name="Normal 4 4 6" xfId="979" xr:uid="{00000000-0005-0000-0000-0000D8030000}"/>
    <cellStyle name="Normal 4 4 7" xfId="980" xr:uid="{00000000-0005-0000-0000-0000D9030000}"/>
    <cellStyle name="Normal 4 4 8" xfId="981" xr:uid="{00000000-0005-0000-0000-0000DA030000}"/>
    <cellStyle name="Normal 4 5" xfId="982" xr:uid="{00000000-0005-0000-0000-0000DB030000}"/>
    <cellStyle name="Normal 4 5 2" xfId="983" xr:uid="{00000000-0005-0000-0000-0000DC030000}"/>
    <cellStyle name="Normal 4 5 3" xfId="984" xr:uid="{00000000-0005-0000-0000-0000DD030000}"/>
    <cellStyle name="Normal 4 5 4" xfId="985" xr:uid="{00000000-0005-0000-0000-0000DE030000}"/>
    <cellStyle name="Normal 4 5 5" xfId="986" xr:uid="{00000000-0005-0000-0000-0000DF030000}"/>
    <cellStyle name="Normal 4 5 6" xfId="987" xr:uid="{00000000-0005-0000-0000-0000E0030000}"/>
    <cellStyle name="Normal 4 5 7" xfId="988" xr:uid="{00000000-0005-0000-0000-0000E1030000}"/>
    <cellStyle name="Normal 4 5 8" xfId="989" xr:uid="{00000000-0005-0000-0000-0000E2030000}"/>
    <cellStyle name="Normal 4 6" xfId="990" xr:uid="{00000000-0005-0000-0000-0000E3030000}"/>
    <cellStyle name="Normal 4 7" xfId="991" xr:uid="{00000000-0005-0000-0000-0000E4030000}"/>
    <cellStyle name="Normal 4 8" xfId="992" xr:uid="{00000000-0005-0000-0000-0000E5030000}"/>
    <cellStyle name="Normal 4 9" xfId="993" xr:uid="{00000000-0005-0000-0000-0000E6030000}"/>
    <cellStyle name="Normal 5" xfId="994" xr:uid="{00000000-0005-0000-0000-0000E7030000}"/>
    <cellStyle name="Normal 5 10" xfId="995" xr:uid="{00000000-0005-0000-0000-0000E8030000}"/>
    <cellStyle name="Normal 5 11" xfId="996" xr:uid="{00000000-0005-0000-0000-0000E9030000}"/>
    <cellStyle name="Normal 5 12" xfId="997" xr:uid="{00000000-0005-0000-0000-0000EA030000}"/>
    <cellStyle name="Normal 5 2" xfId="998" xr:uid="{00000000-0005-0000-0000-0000EB030000}"/>
    <cellStyle name="Normal 5 2 2" xfId="999" xr:uid="{00000000-0005-0000-0000-0000EC030000}"/>
    <cellStyle name="Normal 5 2 2 10" xfId="1000" xr:uid="{00000000-0005-0000-0000-0000ED030000}"/>
    <cellStyle name="Normal 5 2 2 11" xfId="1001" xr:uid="{00000000-0005-0000-0000-0000EE030000}"/>
    <cellStyle name="Normal 5 2 2 12" xfId="1002" xr:uid="{00000000-0005-0000-0000-0000EF030000}"/>
    <cellStyle name="Normal 5 2 2 13" xfId="1003" xr:uid="{00000000-0005-0000-0000-0000F0030000}"/>
    <cellStyle name="Normal 5 2 2 2" xfId="1004" xr:uid="{00000000-0005-0000-0000-0000F1030000}"/>
    <cellStyle name="Normal 5 2 2 2 10" xfId="1005" xr:uid="{00000000-0005-0000-0000-0000F2030000}"/>
    <cellStyle name="Normal 5 2 2 2 11" xfId="1006" xr:uid="{00000000-0005-0000-0000-0000F3030000}"/>
    <cellStyle name="Normal 5 2 2 2 12" xfId="1007" xr:uid="{00000000-0005-0000-0000-0000F4030000}"/>
    <cellStyle name="Normal 5 2 2 2 13" xfId="1008" xr:uid="{00000000-0005-0000-0000-0000F5030000}"/>
    <cellStyle name="Normal 5 2 2 2 2" xfId="1009" xr:uid="{00000000-0005-0000-0000-0000F6030000}"/>
    <cellStyle name="Normal 5 2 2 2 3" xfId="1010" xr:uid="{00000000-0005-0000-0000-0000F7030000}"/>
    <cellStyle name="Normal 5 2 2 2 4" xfId="1011" xr:uid="{00000000-0005-0000-0000-0000F8030000}"/>
    <cellStyle name="Normal 5 2 2 2 5" xfId="1012" xr:uid="{00000000-0005-0000-0000-0000F9030000}"/>
    <cellStyle name="Normal 5 2 2 2 6" xfId="1013" xr:uid="{00000000-0005-0000-0000-0000FA030000}"/>
    <cellStyle name="Normal 5 2 2 2 7" xfId="1014" xr:uid="{00000000-0005-0000-0000-0000FB030000}"/>
    <cellStyle name="Normal 5 2 2 2 8" xfId="1015" xr:uid="{00000000-0005-0000-0000-0000FC030000}"/>
    <cellStyle name="Normal 5 2 2 2 9" xfId="1016" xr:uid="{00000000-0005-0000-0000-0000FD030000}"/>
    <cellStyle name="Normal 5 2 2 3" xfId="1017" xr:uid="{00000000-0005-0000-0000-0000FE030000}"/>
    <cellStyle name="Normal 5 2 2 4" xfId="1018" xr:uid="{00000000-0005-0000-0000-0000FF030000}"/>
    <cellStyle name="Normal 5 2 2 5" xfId="1019" xr:uid="{00000000-0005-0000-0000-000000040000}"/>
    <cellStyle name="Normal 5 2 2 6" xfId="1020" xr:uid="{00000000-0005-0000-0000-000001040000}"/>
    <cellStyle name="Normal 5 2 2 7" xfId="1021" xr:uid="{00000000-0005-0000-0000-000002040000}"/>
    <cellStyle name="Normal 5 2 2 8" xfId="1022" xr:uid="{00000000-0005-0000-0000-000003040000}"/>
    <cellStyle name="Normal 5 2 2 9" xfId="1023" xr:uid="{00000000-0005-0000-0000-000004040000}"/>
    <cellStyle name="Normal 5 2 3" xfId="1024" xr:uid="{00000000-0005-0000-0000-000005040000}"/>
    <cellStyle name="Normal 5 2 4" xfId="1025" xr:uid="{00000000-0005-0000-0000-000006040000}"/>
    <cellStyle name="Normal 5 2 5" xfId="1026" xr:uid="{00000000-0005-0000-0000-000007040000}"/>
    <cellStyle name="Normal 5 2 6" xfId="1027" xr:uid="{00000000-0005-0000-0000-000008040000}"/>
    <cellStyle name="Normal 5 2 7" xfId="1028" xr:uid="{00000000-0005-0000-0000-000009040000}"/>
    <cellStyle name="Normal 5 2 8" xfId="1029" xr:uid="{00000000-0005-0000-0000-00000A040000}"/>
    <cellStyle name="Normal 5 3" xfId="1030" xr:uid="{00000000-0005-0000-0000-00000B040000}"/>
    <cellStyle name="Normal 5 3 2" xfId="1031" xr:uid="{00000000-0005-0000-0000-00000C040000}"/>
    <cellStyle name="Normal 5 3 3" xfId="1032" xr:uid="{00000000-0005-0000-0000-00000D040000}"/>
    <cellStyle name="Normal 5 3 4" xfId="1033" xr:uid="{00000000-0005-0000-0000-00000E040000}"/>
    <cellStyle name="Normal 5 3 5" xfId="1034" xr:uid="{00000000-0005-0000-0000-00000F040000}"/>
    <cellStyle name="Normal 5 3 6" xfId="1035" xr:uid="{00000000-0005-0000-0000-000010040000}"/>
    <cellStyle name="Normal 5 3 7" xfId="1036" xr:uid="{00000000-0005-0000-0000-000011040000}"/>
    <cellStyle name="Normal 5 3 8" xfId="1037" xr:uid="{00000000-0005-0000-0000-000012040000}"/>
    <cellStyle name="Normal 5 4" xfId="1038" xr:uid="{00000000-0005-0000-0000-000013040000}"/>
    <cellStyle name="Normal 5 4 2" xfId="1039" xr:uid="{00000000-0005-0000-0000-000014040000}"/>
    <cellStyle name="Normal 5 4 3" xfId="1040" xr:uid="{00000000-0005-0000-0000-000015040000}"/>
    <cellStyle name="Normal 5 4 4" xfId="1041" xr:uid="{00000000-0005-0000-0000-000016040000}"/>
    <cellStyle name="Normal 5 4 5" xfId="1042" xr:uid="{00000000-0005-0000-0000-000017040000}"/>
    <cellStyle name="Normal 5 4 6" xfId="1043" xr:uid="{00000000-0005-0000-0000-000018040000}"/>
    <cellStyle name="Normal 5 4 7" xfId="1044" xr:uid="{00000000-0005-0000-0000-000019040000}"/>
    <cellStyle name="Normal 5 4 8" xfId="1045" xr:uid="{00000000-0005-0000-0000-00001A040000}"/>
    <cellStyle name="Normal 5 5" xfId="1046" xr:uid="{00000000-0005-0000-0000-00001B040000}"/>
    <cellStyle name="Normal 5 5 2" xfId="1047" xr:uid="{00000000-0005-0000-0000-00001C040000}"/>
    <cellStyle name="Normal 5 5 3" xfId="1048" xr:uid="{00000000-0005-0000-0000-00001D040000}"/>
    <cellStyle name="Normal 5 5 4" xfId="1049" xr:uid="{00000000-0005-0000-0000-00001E040000}"/>
    <cellStyle name="Normal 5 5 5" xfId="1050" xr:uid="{00000000-0005-0000-0000-00001F040000}"/>
    <cellStyle name="Normal 5 5 6" xfId="1051" xr:uid="{00000000-0005-0000-0000-000020040000}"/>
    <cellStyle name="Normal 5 5 7" xfId="1052" xr:uid="{00000000-0005-0000-0000-000021040000}"/>
    <cellStyle name="Normal 5 5 8" xfId="1053" xr:uid="{00000000-0005-0000-0000-000022040000}"/>
    <cellStyle name="Normal 5 6" xfId="1054" xr:uid="{00000000-0005-0000-0000-000023040000}"/>
    <cellStyle name="Normal 5 7" xfId="1055" xr:uid="{00000000-0005-0000-0000-000024040000}"/>
    <cellStyle name="Normal 5 8" xfId="1056" xr:uid="{00000000-0005-0000-0000-000025040000}"/>
    <cellStyle name="Normal 5 9" xfId="1057" xr:uid="{00000000-0005-0000-0000-000026040000}"/>
    <cellStyle name="Normal 6" xfId="1058" xr:uid="{00000000-0005-0000-0000-000027040000}"/>
    <cellStyle name="Normal 6 10" xfId="1059" xr:uid="{00000000-0005-0000-0000-000028040000}"/>
    <cellStyle name="Normal 6 11" xfId="1060" xr:uid="{00000000-0005-0000-0000-000029040000}"/>
    <cellStyle name="Normal 6 12" xfId="1061" xr:uid="{00000000-0005-0000-0000-00002A040000}"/>
    <cellStyle name="Normal 6 2" xfId="1062" xr:uid="{00000000-0005-0000-0000-00002B040000}"/>
    <cellStyle name="Normal 6 2 2" xfId="1063" xr:uid="{00000000-0005-0000-0000-00002C040000}"/>
    <cellStyle name="Normal 6 2 2 10" xfId="1064" xr:uid="{00000000-0005-0000-0000-00002D040000}"/>
    <cellStyle name="Normal 6 2 2 11" xfId="1065" xr:uid="{00000000-0005-0000-0000-00002E040000}"/>
    <cellStyle name="Normal 6 2 2 12" xfId="1066" xr:uid="{00000000-0005-0000-0000-00002F040000}"/>
    <cellStyle name="Normal 6 2 2 13" xfId="1067" xr:uid="{00000000-0005-0000-0000-000030040000}"/>
    <cellStyle name="Normal 6 2 2 2" xfId="1068" xr:uid="{00000000-0005-0000-0000-000031040000}"/>
    <cellStyle name="Normal 6 2 2 3" xfId="1069" xr:uid="{00000000-0005-0000-0000-000032040000}"/>
    <cellStyle name="Normal 6 2 2 4" xfId="1070" xr:uid="{00000000-0005-0000-0000-000033040000}"/>
    <cellStyle name="Normal 6 2 2 5" xfId="1071" xr:uid="{00000000-0005-0000-0000-000034040000}"/>
    <cellStyle name="Normal 6 2 2 6" xfId="1072" xr:uid="{00000000-0005-0000-0000-000035040000}"/>
    <cellStyle name="Normal 6 2 2 7" xfId="1073" xr:uid="{00000000-0005-0000-0000-000036040000}"/>
    <cellStyle name="Normal 6 2 2 8" xfId="1074" xr:uid="{00000000-0005-0000-0000-000037040000}"/>
    <cellStyle name="Normal 6 2 2 9" xfId="1075" xr:uid="{00000000-0005-0000-0000-000038040000}"/>
    <cellStyle name="Normal 6 2 3" xfId="1076" xr:uid="{00000000-0005-0000-0000-000039040000}"/>
    <cellStyle name="Normal 6 2 4" xfId="1077" xr:uid="{00000000-0005-0000-0000-00003A040000}"/>
    <cellStyle name="Normal 6 2 5" xfId="1078" xr:uid="{00000000-0005-0000-0000-00003B040000}"/>
    <cellStyle name="Normal 6 2 6" xfId="1079" xr:uid="{00000000-0005-0000-0000-00003C040000}"/>
    <cellStyle name="Normal 6 2 7" xfId="1080" xr:uid="{00000000-0005-0000-0000-00003D040000}"/>
    <cellStyle name="Normal 6 2 8" xfId="1081" xr:uid="{00000000-0005-0000-0000-00003E040000}"/>
    <cellStyle name="Normal 6 3" xfId="1082" xr:uid="{00000000-0005-0000-0000-00003F040000}"/>
    <cellStyle name="Normal 6 3 2" xfId="1083" xr:uid="{00000000-0005-0000-0000-000040040000}"/>
    <cellStyle name="Normal 6 3 3" xfId="1084" xr:uid="{00000000-0005-0000-0000-000041040000}"/>
    <cellStyle name="Normal 6 3 4" xfId="1085" xr:uid="{00000000-0005-0000-0000-000042040000}"/>
    <cellStyle name="Normal 6 3 5" xfId="1086" xr:uid="{00000000-0005-0000-0000-000043040000}"/>
    <cellStyle name="Normal 6 3 6" xfId="1087" xr:uid="{00000000-0005-0000-0000-000044040000}"/>
    <cellStyle name="Normal 6 3 7" xfId="1088" xr:uid="{00000000-0005-0000-0000-000045040000}"/>
    <cellStyle name="Normal 6 3 8" xfId="1089" xr:uid="{00000000-0005-0000-0000-000046040000}"/>
    <cellStyle name="Normal 6 4" xfId="1090" xr:uid="{00000000-0005-0000-0000-000047040000}"/>
    <cellStyle name="Normal 6 4 2" xfId="1091" xr:uid="{00000000-0005-0000-0000-000048040000}"/>
    <cellStyle name="Normal 6 4 3" xfId="1092" xr:uid="{00000000-0005-0000-0000-000049040000}"/>
    <cellStyle name="Normal 6 4 4" xfId="1093" xr:uid="{00000000-0005-0000-0000-00004A040000}"/>
    <cellStyle name="Normal 6 4 5" xfId="1094" xr:uid="{00000000-0005-0000-0000-00004B040000}"/>
    <cellStyle name="Normal 6 4 6" xfId="1095" xr:uid="{00000000-0005-0000-0000-00004C040000}"/>
    <cellStyle name="Normal 6 4 7" xfId="1096" xr:uid="{00000000-0005-0000-0000-00004D040000}"/>
    <cellStyle name="Normal 6 4 8" xfId="1097" xr:uid="{00000000-0005-0000-0000-00004E040000}"/>
    <cellStyle name="Normal 6 5" xfId="1098" xr:uid="{00000000-0005-0000-0000-00004F040000}"/>
    <cellStyle name="Normal 6 5 2" xfId="1099" xr:uid="{00000000-0005-0000-0000-000050040000}"/>
    <cellStyle name="Normal 6 5 3" xfId="1100" xr:uid="{00000000-0005-0000-0000-000051040000}"/>
    <cellStyle name="Normal 6 5 4" xfId="1101" xr:uid="{00000000-0005-0000-0000-000052040000}"/>
    <cellStyle name="Normal 6 5 5" xfId="1102" xr:uid="{00000000-0005-0000-0000-000053040000}"/>
    <cellStyle name="Normal 6 5 6" xfId="1103" xr:uid="{00000000-0005-0000-0000-000054040000}"/>
    <cellStyle name="Normal 6 5 7" xfId="1104" xr:uid="{00000000-0005-0000-0000-000055040000}"/>
    <cellStyle name="Normal 6 5 8" xfId="1105" xr:uid="{00000000-0005-0000-0000-000056040000}"/>
    <cellStyle name="Normal 6 6" xfId="1106" xr:uid="{00000000-0005-0000-0000-000057040000}"/>
    <cellStyle name="Normal 6 7" xfId="1107" xr:uid="{00000000-0005-0000-0000-000058040000}"/>
    <cellStyle name="Normal 6 8" xfId="1108" xr:uid="{00000000-0005-0000-0000-000059040000}"/>
    <cellStyle name="Normal 6 9" xfId="1109" xr:uid="{00000000-0005-0000-0000-00005A040000}"/>
    <cellStyle name="Normal 7" xfId="1110" xr:uid="{00000000-0005-0000-0000-00005B040000}"/>
    <cellStyle name="Normal 7 10" xfId="1111" xr:uid="{00000000-0005-0000-0000-00005C040000}"/>
    <cellStyle name="Normal 7 11" xfId="1112" xr:uid="{00000000-0005-0000-0000-00005D040000}"/>
    <cellStyle name="Normal 7 12" xfId="1113" xr:uid="{00000000-0005-0000-0000-00005E040000}"/>
    <cellStyle name="Normal 7 2" xfId="1114" xr:uid="{00000000-0005-0000-0000-00005F040000}"/>
    <cellStyle name="Normal 7 2 2" xfId="1115" xr:uid="{00000000-0005-0000-0000-000060040000}"/>
    <cellStyle name="Normal 7 2 3" xfId="1116" xr:uid="{00000000-0005-0000-0000-000061040000}"/>
    <cellStyle name="Normal 7 2 4" xfId="1117" xr:uid="{00000000-0005-0000-0000-000062040000}"/>
    <cellStyle name="Normal 7 2 5" xfId="1118" xr:uid="{00000000-0005-0000-0000-000063040000}"/>
    <cellStyle name="Normal 7 2 6" xfId="1119" xr:uid="{00000000-0005-0000-0000-000064040000}"/>
    <cellStyle name="Normal 7 2 7" xfId="1120" xr:uid="{00000000-0005-0000-0000-000065040000}"/>
    <cellStyle name="Normal 7 2 8" xfId="1121" xr:uid="{00000000-0005-0000-0000-000066040000}"/>
    <cellStyle name="Normal 7 3" xfId="1122" xr:uid="{00000000-0005-0000-0000-000067040000}"/>
    <cellStyle name="Normal 7 3 2" xfId="1123" xr:uid="{00000000-0005-0000-0000-000068040000}"/>
    <cellStyle name="Normal 7 3 3" xfId="1124" xr:uid="{00000000-0005-0000-0000-000069040000}"/>
    <cellStyle name="Normal 7 3 4" xfId="1125" xr:uid="{00000000-0005-0000-0000-00006A040000}"/>
    <cellStyle name="Normal 7 3 5" xfId="1126" xr:uid="{00000000-0005-0000-0000-00006B040000}"/>
    <cellStyle name="Normal 7 3 6" xfId="1127" xr:uid="{00000000-0005-0000-0000-00006C040000}"/>
    <cellStyle name="Normal 7 3 7" xfId="1128" xr:uid="{00000000-0005-0000-0000-00006D040000}"/>
    <cellStyle name="Normal 7 3 8" xfId="1129" xr:uid="{00000000-0005-0000-0000-00006E040000}"/>
    <cellStyle name="Normal 7 4" xfId="1130" xr:uid="{00000000-0005-0000-0000-00006F040000}"/>
    <cellStyle name="Normal 7 4 2" xfId="1131" xr:uid="{00000000-0005-0000-0000-000070040000}"/>
    <cellStyle name="Normal 7 4 3" xfId="1132" xr:uid="{00000000-0005-0000-0000-000071040000}"/>
    <cellStyle name="Normal 7 4 4" xfId="1133" xr:uid="{00000000-0005-0000-0000-000072040000}"/>
    <cellStyle name="Normal 7 4 5" xfId="1134" xr:uid="{00000000-0005-0000-0000-000073040000}"/>
    <cellStyle name="Normal 7 4 6" xfId="1135" xr:uid="{00000000-0005-0000-0000-000074040000}"/>
    <cellStyle name="Normal 7 4 7" xfId="1136" xr:uid="{00000000-0005-0000-0000-000075040000}"/>
    <cellStyle name="Normal 7 4 8" xfId="1137" xr:uid="{00000000-0005-0000-0000-000076040000}"/>
    <cellStyle name="Normal 7 5" xfId="1138" xr:uid="{00000000-0005-0000-0000-000077040000}"/>
    <cellStyle name="Normal 7 5 2" xfId="1139" xr:uid="{00000000-0005-0000-0000-000078040000}"/>
    <cellStyle name="Normal 7 5 3" xfId="1140" xr:uid="{00000000-0005-0000-0000-000079040000}"/>
    <cellStyle name="Normal 7 5 4" xfId="1141" xr:uid="{00000000-0005-0000-0000-00007A040000}"/>
    <cellStyle name="Normal 7 5 5" xfId="1142" xr:uid="{00000000-0005-0000-0000-00007B040000}"/>
    <cellStyle name="Normal 7 5 6" xfId="1143" xr:uid="{00000000-0005-0000-0000-00007C040000}"/>
    <cellStyle name="Normal 7 5 7" xfId="1144" xr:uid="{00000000-0005-0000-0000-00007D040000}"/>
    <cellStyle name="Normal 7 5 8" xfId="1145" xr:uid="{00000000-0005-0000-0000-00007E040000}"/>
    <cellStyle name="Normal 7 6" xfId="1146" xr:uid="{00000000-0005-0000-0000-00007F040000}"/>
    <cellStyle name="Normal 7 7" xfId="1147" xr:uid="{00000000-0005-0000-0000-000080040000}"/>
    <cellStyle name="Normal 7 8" xfId="1148" xr:uid="{00000000-0005-0000-0000-000081040000}"/>
    <cellStyle name="Normal 7 9" xfId="1149" xr:uid="{00000000-0005-0000-0000-000082040000}"/>
    <cellStyle name="Normal 8" xfId="1150" xr:uid="{00000000-0005-0000-0000-000083040000}"/>
    <cellStyle name="Normal 8 10" xfId="1151" xr:uid="{00000000-0005-0000-0000-000084040000}"/>
    <cellStyle name="Normal 8 11" xfId="1152" xr:uid="{00000000-0005-0000-0000-000085040000}"/>
    <cellStyle name="Normal 8 12" xfId="1153" xr:uid="{00000000-0005-0000-0000-000086040000}"/>
    <cellStyle name="Normal 8 2" xfId="1154" xr:uid="{00000000-0005-0000-0000-000087040000}"/>
    <cellStyle name="Normal 8 2 2" xfId="1155" xr:uid="{00000000-0005-0000-0000-000088040000}"/>
    <cellStyle name="Normal 8 2 3" xfId="1156" xr:uid="{00000000-0005-0000-0000-000089040000}"/>
    <cellStyle name="Normal 8 2 4" xfId="1157" xr:uid="{00000000-0005-0000-0000-00008A040000}"/>
    <cellStyle name="Normal 8 2 5" xfId="1158" xr:uid="{00000000-0005-0000-0000-00008B040000}"/>
    <cellStyle name="Normal 8 2 6" xfId="1159" xr:uid="{00000000-0005-0000-0000-00008C040000}"/>
    <cellStyle name="Normal 8 2 7" xfId="1160" xr:uid="{00000000-0005-0000-0000-00008D040000}"/>
    <cellStyle name="Normal 8 2 8" xfId="1161" xr:uid="{00000000-0005-0000-0000-00008E040000}"/>
    <cellStyle name="Normal 8 3" xfId="1162" xr:uid="{00000000-0005-0000-0000-00008F040000}"/>
    <cellStyle name="Normal 8 3 2" xfId="1163" xr:uid="{00000000-0005-0000-0000-000090040000}"/>
    <cellStyle name="Normal 8 3 3" xfId="1164" xr:uid="{00000000-0005-0000-0000-000091040000}"/>
    <cellStyle name="Normal 8 3 4" xfId="1165" xr:uid="{00000000-0005-0000-0000-000092040000}"/>
    <cellStyle name="Normal 8 3 5" xfId="1166" xr:uid="{00000000-0005-0000-0000-000093040000}"/>
    <cellStyle name="Normal 8 3 6" xfId="1167" xr:uid="{00000000-0005-0000-0000-000094040000}"/>
    <cellStyle name="Normal 8 3 7" xfId="1168" xr:uid="{00000000-0005-0000-0000-000095040000}"/>
    <cellStyle name="Normal 8 3 8" xfId="1169" xr:uid="{00000000-0005-0000-0000-000096040000}"/>
    <cellStyle name="Normal 8 4" xfId="1170" xr:uid="{00000000-0005-0000-0000-000097040000}"/>
    <cellStyle name="Normal 8 4 2" xfId="1171" xr:uid="{00000000-0005-0000-0000-000098040000}"/>
    <cellStyle name="Normal 8 4 3" xfId="1172" xr:uid="{00000000-0005-0000-0000-000099040000}"/>
    <cellStyle name="Normal 8 4 4" xfId="1173" xr:uid="{00000000-0005-0000-0000-00009A040000}"/>
    <cellStyle name="Normal 8 4 5" xfId="1174" xr:uid="{00000000-0005-0000-0000-00009B040000}"/>
    <cellStyle name="Normal 8 4 6" xfId="1175" xr:uid="{00000000-0005-0000-0000-00009C040000}"/>
    <cellStyle name="Normal 8 4 7" xfId="1176" xr:uid="{00000000-0005-0000-0000-00009D040000}"/>
    <cellStyle name="Normal 8 4 8" xfId="1177" xr:uid="{00000000-0005-0000-0000-00009E040000}"/>
    <cellStyle name="Normal 8 5" xfId="1178" xr:uid="{00000000-0005-0000-0000-00009F040000}"/>
    <cellStyle name="Normal 8 5 2" xfId="1179" xr:uid="{00000000-0005-0000-0000-0000A0040000}"/>
    <cellStyle name="Normal 8 5 3" xfId="1180" xr:uid="{00000000-0005-0000-0000-0000A1040000}"/>
    <cellStyle name="Normal 8 5 4" xfId="1181" xr:uid="{00000000-0005-0000-0000-0000A2040000}"/>
    <cellStyle name="Normal 8 5 5" xfId="1182" xr:uid="{00000000-0005-0000-0000-0000A3040000}"/>
    <cellStyle name="Normal 8 5 6" xfId="1183" xr:uid="{00000000-0005-0000-0000-0000A4040000}"/>
    <cellStyle name="Normal 8 5 7" xfId="1184" xr:uid="{00000000-0005-0000-0000-0000A5040000}"/>
    <cellStyle name="Normal 8 5 8" xfId="1185" xr:uid="{00000000-0005-0000-0000-0000A6040000}"/>
    <cellStyle name="Normal 8 6" xfId="1186" xr:uid="{00000000-0005-0000-0000-0000A7040000}"/>
    <cellStyle name="Normal 8 7" xfId="1187" xr:uid="{00000000-0005-0000-0000-0000A8040000}"/>
    <cellStyle name="Normal 8 8" xfId="1188" xr:uid="{00000000-0005-0000-0000-0000A9040000}"/>
    <cellStyle name="Normal 8 9" xfId="1189" xr:uid="{00000000-0005-0000-0000-0000AA040000}"/>
    <cellStyle name="Normal 9" xfId="1190" xr:uid="{00000000-0005-0000-0000-0000AB040000}"/>
    <cellStyle name="Normal 9 2" xfId="1191" xr:uid="{00000000-0005-0000-0000-0000AC040000}"/>
    <cellStyle name="Normal 9 3" xfId="1192" xr:uid="{00000000-0005-0000-0000-0000AD040000}"/>
    <cellStyle name="Normal 9 4" xfId="1193" xr:uid="{00000000-0005-0000-0000-0000AE040000}"/>
    <cellStyle name="Normal 9 5" xfId="1194" xr:uid="{00000000-0005-0000-0000-0000AF040000}"/>
    <cellStyle name="Normal 9 6" xfId="1195" xr:uid="{00000000-0005-0000-0000-0000B0040000}"/>
    <cellStyle name="Normal 9 7" xfId="1196" xr:uid="{00000000-0005-0000-0000-0000B1040000}"/>
    <cellStyle name="Normal 9 8" xfId="1197" xr:uid="{00000000-0005-0000-0000-0000B2040000}"/>
    <cellStyle name="Normale 2" xfId="1625" xr:uid="{00000000-0005-0000-0000-00005E060000}"/>
    <cellStyle name="Normale_B2020" xfId="1198" xr:uid="{00000000-0005-0000-0000-0000B3040000}"/>
    <cellStyle name="Note 2 10" xfId="1199" xr:uid="{00000000-0005-0000-0000-0000B4040000}"/>
    <cellStyle name="Note 2 11" xfId="1200" xr:uid="{00000000-0005-0000-0000-0000B5040000}"/>
    <cellStyle name="Note 2 12" xfId="1201" xr:uid="{00000000-0005-0000-0000-0000B6040000}"/>
    <cellStyle name="Note 2 13" xfId="1202" xr:uid="{00000000-0005-0000-0000-0000B7040000}"/>
    <cellStyle name="Note 2 14" xfId="1203" xr:uid="{00000000-0005-0000-0000-0000B8040000}"/>
    <cellStyle name="Note 2 15" xfId="1204" xr:uid="{00000000-0005-0000-0000-0000B9040000}"/>
    <cellStyle name="Note 2 2" xfId="1205" xr:uid="{00000000-0005-0000-0000-0000BA040000}"/>
    <cellStyle name="Note 2 3" xfId="1206" xr:uid="{00000000-0005-0000-0000-0000BB040000}"/>
    <cellStyle name="Note 2 4" xfId="1207" xr:uid="{00000000-0005-0000-0000-0000BC040000}"/>
    <cellStyle name="Note 2 5" xfId="1208" xr:uid="{00000000-0005-0000-0000-0000BD040000}"/>
    <cellStyle name="Note 2 6" xfId="1209" xr:uid="{00000000-0005-0000-0000-0000BE040000}"/>
    <cellStyle name="Note 2 7" xfId="1210" xr:uid="{00000000-0005-0000-0000-0000BF040000}"/>
    <cellStyle name="Note 2 8" xfId="1211" xr:uid="{00000000-0005-0000-0000-0000C0040000}"/>
    <cellStyle name="Note 2 9" xfId="1212" xr:uid="{00000000-0005-0000-0000-0000C1040000}"/>
    <cellStyle name="Note 3" xfId="1213" xr:uid="{00000000-0005-0000-0000-0000C2040000}"/>
    <cellStyle name="Note 4" xfId="1214" xr:uid="{00000000-0005-0000-0000-0000C3040000}"/>
    <cellStyle name="Note 5" xfId="1215" xr:uid="{00000000-0005-0000-0000-0000C4040000}"/>
    <cellStyle name="Note 6" xfId="1216" xr:uid="{00000000-0005-0000-0000-0000C5040000}"/>
    <cellStyle name="Note 7" xfId="1217" xr:uid="{00000000-0005-0000-0000-0000C6040000}"/>
    <cellStyle name="Note 8" xfId="1218" xr:uid="{00000000-0005-0000-0000-0000C7040000}"/>
    <cellStyle name="Output 2 10" xfId="1219" xr:uid="{00000000-0005-0000-0000-0000C8040000}"/>
    <cellStyle name="Output 2 2" xfId="1220" xr:uid="{00000000-0005-0000-0000-0000C9040000}"/>
    <cellStyle name="Output 2 3" xfId="1221" xr:uid="{00000000-0005-0000-0000-0000CA040000}"/>
    <cellStyle name="Output 2 4" xfId="1222" xr:uid="{00000000-0005-0000-0000-0000CB040000}"/>
    <cellStyle name="Output 2 5" xfId="1223" xr:uid="{00000000-0005-0000-0000-0000CC040000}"/>
    <cellStyle name="Output 2 6" xfId="1224" xr:uid="{00000000-0005-0000-0000-0000CD040000}"/>
    <cellStyle name="Output 2 7" xfId="1225" xr:uid="{00000000-0005-0000-0000-0000CE040000}"/>
    <cellStyle name="Output 2 8" xfId="1226" xr:uid="{00000000-0005-0000-0000-0000CF040000}"/>
    <cellStyle name="Output 2 9" xfId="1227" xr:uid="{00000000-0005-0000-0000-0000D0040000}"/>
    <cellStyle name="Output 3" xfId="1228" xr:uid="{00000000-0005-0000-0000-0000D1040000}"/>
    <cellStyle name="Percent 10" xfId="1229" xr:uid="{00000000-0005-0000-0000-0000D2040000}"/>
    <cellStyle name="Percent 10 2" xfId="1230" xr:uid="{00000000-0005-0000-0000-0000D3040000}"/>
    <cellStyle name="Percent 10 3" xfId="1231" xr:uid="{00000000-0005-0000-0000-0000D4040000}"/>
    <cellStyle name="Percent 10 4" xfId="1232" xr:uid="{00000000-0005-0000-0000-0000D5040000}"/>
    <cellStyle name="Percent 10 5" xfId="1233" xr:uid="{00000000-0005-0000-0000-0000D6040000}"/>
    <cellStyle name="Percent 10 6" xfId="1234" xr:uid="{00000000-0005-0000-0000-0000D7040000}"/>
    <cellStyle name="Percent 10 7" xfId="1235" xr:uid="{00000000-0005-0000-0000-0000D8040000}"/>
    <cellStyle name="Percent 10 8" xfId="1236" xr:uid="{00000000-0005-0000-0000-0000D9040000}"/>
    <cellStyle name="Percent 11" xfId="1237" xr:uid="{00000000-0005-0000-0000-0000DA040000}"/>
    <cellStyle name="Percent 11 2" xfId="1238" xr:uid="{00000000-0005-0000-0000-0000DB040000}"/>
    <cellStyle name="Percent 11 3" xfId="1239" xr:uid="{00000000-0005-0000-0000-0000DC040000}"/>
    <cellStyle name="Percent 11 4" xfId="1240" xr:uid="{00000000-0005-0000-0000-0000DD040000}"/>
    <cellStyle name="Percent 11 5" xfId="1241" xr:uid="{00000000-0005-0000-0000-0000DE040000}"/>
    <cellStyle name="Percent 11 6" xfId="1242" xr:uid="{00000000-0005-0000-0000-0000DF040000}"/>
    <cellStyle name="Percent 11 7" xfId="1243" xr:uid="{00000000-0005-0000-0000-0000E0040000}"/>
    <cellStyle name="Percent 11 8" xfId="1244" xr:uid="{00000000-0005-0000-0000-0000E1040000}"/>
    <cellStyle name="Percent 12" xfId="1245" xr:uid="{00000000-0005-0000-0000-0000E2040000}"/>
    <cellStyle name="Percent 12 2" xfId="1246" xr:uid="{00000000-0005-0000-0000-0000E3040000}"/>
    <cellStyle name="Percent 12 3" xfId="1247" xr:uid="{00000000-0005-0000-0000-0000E4040000}"/>
    <cellStyle name="Percent 12 4" xfId="1248" xr:uid="{00000000-0005-0000-0000-0000E5040000}"/>
    <cellStyle name="Percent 12 5" xfId="1249" xr:uid="{00000000-0005-0000-0000-0000E6040000}"/>
    <cellStyle name="Percent 12 6" xfId="1250" xr:uid="{00000000-0005-0000-0000-0000E7040000}"/>
    <cellStyle name="Percent 12 7" xfId="1251" xr:uid="{00000000-0005-0000-0000-0000E8040000}"/>
    <cellStyle name="Percent 12 8" xfId="1252" xr:uid="{00000000-0005-0000-0000-0000E9040000}"/>
    <cellStyle name="Percent 13" xfId="1253" xr:uid="{00000000-0005-0000-0000-0000EA040000}"/>
    <cellStyle name="Percent 13 2" xfId="1254" xr:uid="{00000000-0005-0000-0000-0000EB040000}"/>
    <cellStyle name="Percent 13 3" xfId="1255" xr:uid="{00000000-0005-0000-0000-0000EC040000}"/>
    <cellStyle name="Percent 13 4" xfId="1256" xr:uid="{00000000-0005-0000-0000-0000ED040000}"/>
    <cellStyle name="Percent 13 5" xfId="1257" xr:uid="{00000000-0005-0000-0000-0000EE040000}"/>
    <cellStyle name="Percent 13 6" xfId="1258" xr:uid="{00000000-0005-0000-0000-0000EF040000}"/>
    <cellStyle name="Percent 13 7" xfId="1259" xr:uid="{00000000-0005-0000-0000-0000F0040000}"/>
    <cellStyle name="Percent 13 8" xfId="1260" xr:uid="{00000000-0005-0000-0000-0000F1040000}"/>
    <cellStyle name="Percent 14" xfId="1261" xr:uid="{00000000-0005-0000-0000-0000F2040000}"/>
    <cellStyle name="Percent 14 2" xfId="1262" xr:uid="{00000000-0005-0000-0000-0000F3040000}"/>
    <cellStyle name="Percent 14 3" xfId="1263" xr:uid="{00000000-0005-0000-0000-0000F4040000}"/>
    <cellStyle name="Percent 14 4" xfId="1264" xr:uid="{00000000-0005-0000-0000-0000F5040000}"/>
    <cellStyle name="Percent 14 5" xfId="1265" xr:uid="{00000000-0005-0000-0000-0000F6040000}"/>
    <cellStyle name="Percent 14 6" xfId="1266" xr:uid="{00000000-0005-0000-0000-0000F7040000}"/>
    <cellStyle name="Percent 14 7" xfId="1267" xr:uid="{00000000-0005-0000-0000-0000F8040000}"/>
    <cellStyle name="Percent 14 8" xfId="1268" xr:uid="{00000000-0005-0000-0000-0000F9040000}"/>
    <cellStyle name="Percent 15" xfId="1269" xr:uid="{00000000-0005-0000-0000-0000FA040000}"/>
    <cellStyle name="Percent 15 10" xfId="1270" xr:uid="{00000000-0005-0000-0000-0000FB040000}"/>
    <cellStyle name="Percent 15 11" xfId="1271" xr:uid="{00000000-0005-0000-0000-0000FC040000}"/>
    <cellStyle name="Percent 15 12" xfId="1272" xr:uid="{00000000-0005-0000-0000-0000FD040000}"/>
    <cellStyle name="Percent 15 13" xfId="1273" xr:uid="{00000000-0005-0000-0000-0000FE040000}"/>
    <cellStyle name="Percent 15 14" xfId="1274" xr:uid="{00000000-0005-0000-0000-0000FF040000}"/>
    <cellStyle name="Percent 15 2" xfId="1275" xr:uid="{00000000-0005-0000-0000-000000050000}"/>
    <cellStyle name="Percent 15 2 2" xfId="1276" xr:uid="{00000000-0005-0000-0000-000001050000}"/>
    <cellStyle name="Percent 15 2 3" xfId="1277" xr:uid="{00000000-0005-0000-0000-000002050000}"/>
    <cellStyle name="Percent 15 2 4" xfId="1278" xr:uid="{00000000-0005-0000-0000-000003050000}"/>
    <cellStyle name="Percent 15 2 5" xfId="1279" xr:uid="{00000000-0005-0000-0000-000004050000}"/>
    <cellStyle name="Percent 15 2 6" xfId="1280" xr:uid="{00000000-0005-0000-0000-000005050000}"/>
    <cellStyle name="Percent 15 2 7" xfId="1281" xr:uid="{00000000-0005-0000-0000-000006050000}"/>
    <cellStyle name="Percent 15 3" xfId="1282" xr:uid="{00000000-0005-0000-0000-000007050000}"/>
    <cellStyle name="Percent 15 4" xfId="1283" xr:uid="{00000000-0005-0000-0000-000008050000}"/>
    <cellStyle name="Percent 15 5" xfId="1284" xr:uid="{00000000-0005-0000-0000-000009050000}"/>
    <cellStyle name="Percent 15 6" xfId="1285" xr:uid="{00000000-0005-0000-0000-00000A050000}"/>
    <cellStyle name="Percent 15 7" xfId="1286" xr:uid="{00000000-0005-0000-0000-00000B050000}"/>
    <cellStyle name="Percent 15 8" xfId="1287" xr:uid="{00000000-0005-0000-0000-00000C050000}"/>
    <cellStyle name="Percent 15 9" xfId="1288" xr:uid="{00000000-0005-0000-0000-00000D050000}"/>
    <cellStyle name="Percent 16" xfId="4" xr:uid="{00000000-0005-0000-0000-000009000000}"/>
    <cellStyle name="Percent 16 2" xfId="1289" xr:uid="{00000000-0005-0000-0000-00000E050000}"/>
    <cellStyle name="Percent 16 3" xfId="1290" xr:uid="{00000000-0005-0000-0000-00000F050000}"/>
    <cellStyle name="Percent 16 3 10" xfId="1291" xr:uid="{00000000-0005-0000-0000-000010050000}"/>
    <cellStyle name="Percent 16 3 11" xfId="1292" xr:uid="{00000000-0005-0000-0000-000011050000}"/>
    <cellStyle name="Percent 16 3 12" xfId="1293" xr:uid="{00000000-0005-0000-0000-000012050000}"/>
    <cellStyle name="Percent 16 3 13" xfId="1294" xr:uid="{00000000-0005-0000-0000-000013050000}"/>
    <cellStyle name="Percent 16 3 14" xfId="1295" xr:uid="{00000000-0005-0000-0000-000014050000}"/>
    <cellStyle name="Percent 16 3 15" xfId="1296" xr:uid="{00000000-0005-0000-0000-000015050000}"/>
    <cellStyle name="Percent 16 3 16" xfId="1297" xr:uid="{00000000-0005-0000-0000-000016050000}"/>
    <cellStyle name="Percent 16 3 17" xfId="1298" xr:uid="{00000000-0005-0000-0000-000017050000}"/>
    <cellStyle name="Percent 16 3 2" xfId="1299" xr:uid="{00000000-0005-0000-0000-000018050000}"/>
    <cellStyle name="Percent 16 3 3" xfId="1300" xr:uid="{00000000-0005-0000-0000-000019050000}"/>
    <cellStyle name="Percent 16 3 4" xfId="1301" xr:uid="{00000000-0005-0000-0000-00001A050000}"/>
    <cellStyle name="Percent 16 3 5" xfId="1302" xr:uid="{00000000-0005-0000-0000-00001B050000}"/>
    <cellStyle name="Percent 16 3 6" xfId="1303" xr:uid="{00000000-0005-0000-0000-00001C050000}"/>
    <cellStyle name="Percent 16 3 7" xfId="1304" xr:uid="{00000000-0005-0000-0000-00001D050000}"/>
    <cellStyle name="Percent 16 3 8" xfId="1305" xr:uid="{00000000-0005-0000-0000-00001E050000}"/>
    <cellStyle name="Percent 16 3 9" xfId="1306" xr:uid="{00000000-0005-0000-0000-00001F050000}"/>
    <cellStyle name="Percent 16 4" xfId="1307" xr:uid="{00000000-0005-0000-0000-000020050000}"/>
    <cellStyle name="Percent 16 4 10" xfId="1308" xr:uid="{00000000-0005-0000-0000-000021050000}"/>
    <cellStyle name="Percent 16 4 11" xfId="1309" xr:uid="{00000000-0005-0000-0000-000022050000}"/>
    <cellStyle name="Percent 16 4 12" xfId="1310" xr:uid="{00000000-0005-0000-0000-000023050000}"/>
    <cellStyle name="Percent 16 4 13" xfId="1311" xr:uid="{00000000-0005-0000-0000-000024050000}"/>
    <cellStyle name="Percent 16 4 14" xfId="1312" xr:uid="{00000000-0005-0000-0000-000025050000}"/>
    <cellStyle name="Percent 16 4 15" xfId="1313" xr:uid="{00000000-0005-0000-0000-000026050000}"/>
    <cellStyle name="Percent 16 4 16" xfId="1314" xr:uid="{00000000-0005-0000-0000-000027050000}"/>
    <cellStyle name="Percent 16 4 17" xfId="1315" xr:uid="{00000000-0005-0000-0000-000028050000}"/>
    <cellStyle name="Percent 16 4 2" xfId="1316" xr:uid="{00000000-0005-0000-0000-000029050000}"/>
    <cellStyle name="Percent 16 4 3" xfId="1317" xr:uid="{00000000-0005-0000-0000-00002A050000}"/>
    <cellStyle name="Percent 16 4 4" xfId="1318" xr:uid="{00000000-0005-0000-0000-00002B050000}"/>
    <cellStyle name="Percent 16 4 5" xfId="1319" xr:uid="{00000000-0005-0000-0000-00002C050000}"/>
    <cellStyle name="Percent 16 4 6" xfId="1320" xr:uid="{00000000-0005-0000-0000-00002D050000}"/>
    <cellStyle name="Percent 16 4 7" xfId="1321" xr:uid="{00000000-0005-0000-0000-00002E050000}"/>
    <cellStyle name="Percent 16 4 8" xfId="1322" xr:uid="{00000000-0005-0000-0000-00002F050000}"/>
    <cellStyle name="Percent 16 4 9" xfId="1323" xr:uid="{00000000-0005-0000-0000-000030050000}"/>
    <cellStyle name="Percent 16 5" xfId="1324" xr:uid="{00000000-0005-0000-0000-000031050000}"/>
    <cellStyle name="Percent 16 5 10" xfId="1325" xr:uid="{00000000-0005-0000-0000-000032050000}"/>
    <cellStyle name="Percent 16 5 11" xfId="1326" xr:uid="{00000000-0005-0000-0000-000033050000}"/>
    <cellStyle name="Percent 16 5 12" xfId="1327" xr:uid="{00000000-0005-0000-0000-000034050000}"/>
    <cellStyle name="Percent 16 5 13" xfId="1328" xr:uid="{00000000-0005-0000-0000-000035050000}"/>
    <cellStyle name="Percent 16 5 14" xfId="1329" xr:uid="{00000000-0005-0000-0000-000036050000}"/>
    <cellStyle name="Percent 16 5 15" xfId="1330" xr:uid="{00000000-0005-0000-0000-000037050000}"/>
    <cellStyle name="Percent 16 5 16" xfId="1331" xr:uid="{00000000-0005-0000-0000-000038050000}"/>
    <cellStyle name="Percent 16 5 17" xfId="1332" xr:uid="{00000000-0005-0000-0000-000039050000}"/>
    <cellStyle name="Percent 16 5 2" xfId="1333" xr:uid="{00000000-0005-0000-0000-00003A050000}"/>
    <cellStyle name="Percent 16 5 3" xfId="1334" xr:uid="{00000000-0005-0000-0000-00003B050000}"/>
    <cellStyle name="Percent 16 5 4" xfId="1335" xr:uid="{00000000-0005-0000-0000-00003C050000}"/>
    <cellStyle name="Percent 16 5 5" xfId="1336" xr:uid="{00000000-0005-0000-0000-00003D050000}"/>
    <cellStyle name="Percent 16 5 6" xfId="1337" xr:uid="{00000000-0005-0000-0000-00003E050000}"/>
    <cellStyle name="Percent 16 5 7" xfId="1338" xr:uid="{00000000-0005-0000-0000-00003F050000}"/>
    <cellStyle name="Percent 16 5 8" xfId="1339" xr:uid="{00000000-0005-0000-0000-000040050000}"/>
    <cellStyle name="Percent 16 5 9" xfId="1340" xr:uid="{00000000-0005-0000-0000-000041050000}"/>
    <cellStyle name="Percent 16 6" xfId="1341" xr:uid="{00000000-0005-0000-0000-000042050000}"/>
    <cellStyle name="Percent 16 6 10" xfId="1342" xr:uid="{00000000-0005-0000-0000-000043050000}"/>
    <cellStyle name="Percent 16 6 11" xfId="1343" xr:uid="{00000000-0005-0000-0000-000044050000}"/>
    <cellStyle name="Percent 16 6 12" xfId="1344" xr:uid="{00000000-0005-0000-0000-000045050000}"/>
    <cellStyle name="Percent 16 6 13" xfId="1345" xr:uid="{00000000-0005-0000-0000-000046050000}"/>
    <cellStyle name="Percent 16 6 14" xfId="1346" xr:uid="{00000000-0005-0000-0000-000047050000}"/>
    <cellStyle name="Percent 16 6 15" xfId="1347" xr:uid="{00000000-0005-0000-0000-000048050000}"/>
    <cellStyle name="Percent 16 6 16" xfId="1348" xr:uid="{00000000-0005-0000-0000-000049050000}"/>
    <cellStyle name="Percent 16 6 17" xfId="1349" xr:uid="{00000000-0005-0000-0000-00004A050000}"/>
    <cellStyle name="Percent 16 6 2" xfId="1350" xr:uid="{00000000-0005-0000-0000-00004B050000}"/>
    <cellStyle name="Percent 16 6 3" xfId="1351" xr:uid="{00000000-0005-0000-0000-00004C050000}"/>
    <cellStyle name="Percent 16 6 4" xfId="1352" xr:uid="{00000000-0005-0000-0000-00004D050000}"/>
    <cellStyle name="Percent 16 6 5" xfId="1353" xr:uid="{00000000-0005-0000-0000-00004E050000}"/>
    <cellStyle name="Percent 16 6 6" xfId="1354" xr:uid="{00000000-0005-0000-0000-00004F050000}"/>
    <cellStyle name="Percent 16 6 7" xfId="1355" xr:uid="{00000000-0005-0000-0000-000050050000}"/>
    <cellStyle name="Percent 16 6 8" xfId="1356" xr:uid="{00000000-0005-0000-0000-000051050000}"/>
    <cellStyle name="Percent 16 6 9" xfId="1357" xr:uid="{00000000-0005-0000-0000-000052050000}"/>
    <cellStyle name="Percent 16 7" xfId="1358" xr:uid="{00000000-0005-0000-0000-000053050000}"/>
    <cellStyle name="Percent 16 7 10" xfId="1359" xr:uid="{00000000-0005-0000-0000-000054050000}"/>
    <cellStyle name="Percent 16 7 11" xfId="1360" xr:uid="{00000000-0005-0000-0000-000055050000}"/>
    <cellStyle name="Percent 16 7 12" xfId="1361" xr:uid="{00000000-0005-0000-0000-000056050000}"/>
    <cellStyle name="Percent 16 7 13" xfId="1362" xr:uid="{00000000-0005-0000-0000-000057050000}"/>
    <cellStyle name="Percent 16 7 14" xfId="1363" xr:uid="{00000000-0005-0000-0000-000058050000}"/>
    <cellStyle name="Percent 16 7 15" xfId="1364" xr:uid="{00000000-0005-0000-0000-000059050000}"/>
    <cellStyle name="Percent 16 7 16" xfId="1365" xr:uid="{00000000-0005-0000-0000-00005A050000}"/>
    <cellStyle name="Percent 16 7 17" xfId="1366" xr:uid="{00000000-0005-0000-0000-00005B050000}"/>
    <cellStyle name="Percent 16 7 2" xfId="1367" xr:uid="{00000000-0005-0000-0000-00005C050000}"/>
    <cellStyle name="Percent 16 7 3" xfId="1368" xr:uid="{00000000-0005-0000-0000-00005D050000}"/>
    <cellStyle name="Percent 16 7 4" xfId="1369" xr:uid="{00000000-0005-0000-0000-00005E050000}"/>
    <cellStyle name="Percent 16 7 5" xfId="1370" xr:uid="{00000000-0005-0000-0000-00005F050000}"/>
    <cellStyle name="Percent 16 7 6" xfId="1371" xr:uid="{00000000-0005-0000-0000-000060050000}"/>
    <cellStyle name="Percent 16 7 7" xfId="1372" xr:uid="{00000000-0005-0000-0000-000061050000}"/>
    <cellStyle name="Percent 16 7 8" xfId="1373" xr:uid="{00000000-0005-0000-0000-000062050000}"/>
    <cellStyle name="Percent 16 7 9" xfId="1374" xr:uid="{00000000-0005-0000-0000-000063050000}"/>
    <cellStyle name="Percent 16 8" xfId="1375" xr:uid="{00000000-0005-0000-0000-000064050000}"/>
    <cellStyle name="Percent 16 8 10" xfId="1376" xr:uid="{00000000-0005-0000-0000-000065050000}"/>
    <cellStyle name="Percent 16 8 11" xfId="1377" xr:uid="{00000000-0005-0000-0000-000066050000}"/>
    <cellStyle name="Percent 16 8 12" xfId="1378" xr:uid="{00000000-0005-0000-0000-000067050000}"/>
    <cellStyle name="Percent 16 8 13" xfId="1379" xr:uid="{00000000-0005-0000-0000-000068050000}"/>
    <cellStyle name="Percent 16 8 14" xfId="1380" xr:uid="{00000000-0005-0000-0000-000069050000}"/>
    <cellStyle name="Percent 16 8 15" xfId="1381" xr:uid="{00000000-0005-0000-0000-00006A050000}"/>
    <cellStyle name="Percent 16 8 16" xfId="1382" xr:uid="{00000000-0005-0000-0000-00006B050000}"/>
    <cellStyle name="Percent 16 8 17" xfId="1383" xr:uid="{00000000-0005-0000-0000-00006C050000}"/>
    <cellStyle name="Percent 16 8 2" xfId="1384" xr:uid="{00000000-0005-0000-0000-00006D050000}"/>
    <cellStyle name="Percent 16 8 3" xfId="1385" xr:uid="{00000000-0005-0000-0000-00006E050000}"/>
    <cellStyle name="Percent 16 8 4" xfId="1386" xr:uid="{00000000-0005-0000-0000-00006F050000}"/>
    <cellStyle name="Percent 16 8 5" xfId="1387" xr:uid="{00000000-0005-0000-0000-000070050000}"/>
    <cellStyle name="Percent 16 8 6" xfId="1388" xr:uid="{00000000-0005-0000-0000-000071050000}"/>
    <cellStyle name="Percent 16 8 7" xfId="1389" xr:uid="{00000000-0005-0000-0000-000072050000}"/>
    <cellStyle name="Percent 16 8 8" xfId="1390" xr:uid="{00000000-0005-0000-0000-000073050000}"/>
    <cellStyle name="Percent 16 8 9" xfId="1391" xr:uid="{00000000-0005-0000-0000-000074050000}"/>
    <cellStyle name="Percent 16 9" xfId="1392" xr:uid="{00000000-0005-0000-0000-000075050000}"/>
    <cellStyle name="Percent 16 9 10" xfId="1393" xr:uid="{00000000-0005-0000-0000-000076050000}"/>
    <cellStyle name="Percent 16 9 11" xfId="1394" xr:uid="{00000000-0005-0000-0000-000077050000}"/>
    <cellStyle name="Percent 16 9 12" xfId="1395" xr:uid="{00000000-0005-0000-0000-000078050000}"/>
    <cellStyle name="Percent 16 9 13" xfId="1396" xr:uid="{00000000-0005-0000-0000-000079050000}"/>
    <cellStyle name="Percent 16 9 14" xfId="1397" xr:uid="{00000000-0005-0000-0000-00007A050000}"/>
    <cellStyle name="Percent 16 9 15" xfId="1398" xr:uid="{00000000-0005-0000-0000-00007B050000}"/>
    <cellStyle name="Percent 16 9 16" xfId="1399" xr:uid="{00000000-0005-0000-0000-00007C050000}"/>
    <cellStyle name="Percent 16 9 17" xfId="1400" xr:uid="{00000000-0005-0000-0000-00007D050000}"/>
    <cellStyle name="Percent 16 9 2" xfId="1401" xr:uid="{00000000-0005-0000-0000-00007E050000}"/>
    <cellStyle name="Percent 16 9 3" xfId="1402" xr:uid="{00000000-0005-0000-0000-00007F050000}"/>
    <cellStyle name="Percent 16 9 4" xfId="1403" xr:uid="{00000000-0005-0000-0000-000080050000}"/>
    <cellStyle name="Percent 16 9 5" xfId="1404" xr:uid="{00000000-0005-0000-0000-000081050000}"/>
    <cellStyle name="Percent 16 9 6" xfId="1405" xr:uid="{00000000-0005-0000-0000-000082050000}"/>
    <cellStyle name="Percent 16 9 7" xfId="1406" xr:uid="{00000000-0005-0000-0000-000083050000}"/>
    <cellStyle name="Percent 16 9 8" xfId="1407" xr:uid="{00000000-0005-0000-0000-000084050000}"/>
    <cellStyle name="Percent 16 9 9" xfId="1408" xr:uid="{00000000-0005-0000-0000-000085050000}"/>
    <cellStyle name="Percent 2" xfId="7" xr:uid="{00000000-0005-0000-0000-00000C000000}"/>
    <cellStyle name="Percent 2 10" xfId="1409" xr:uid="{00000000-0005-0000-0000-000086050000}"/>
    <cellStyle name="Percent 2 10 2" xfId="1410" xr:uid="{00000000-0005-0000-0000-000087050000}"/>
    <cellStyle name="Percent 2 10 3" xfId="1411" xr:uid="{00000000-0005-0000-0000-000088050000}"/>
    <cellStyle name="Percent 2 10 4" xfId="1412" xr:uid="{00000000-0005-0000-0000-000089050000}"/>
    <cellStyle name="Percent 2 10 5" xfId="1413" xr:uid="{00000000-0005-0000-0000-00008A050000}"/>
    <cellStyle name="Percent 2 10 6" xfId="1414" xr:uid="{00000000-0005-0000-0000-00008B050000}"/>
    <cellStyle name="Percent 2 10 7" xfId="1415" xr:uid="{00000000-0005-0000-0000-00008C050000}"/>
    <cellStyle name="Percent 2 10 8" xfId="1416" xr:uid="{00000000-0005-0000-0000-00008D050000}"/>
    <cellStyle name="Percent 2 11" xfId="1417" xr:uid="{00000000-0005-0000-0000-00008E050000}"/>
    <cellStyle name="Percent 2 11 2" xfId="1418" xr:uid="{00000000-0005-0000-0000-00008F050000}"/>
    <cellStyle name="Percent 2 11 3" xfId="1419" xr:uid="{00000000-0005-0000-0000-000090050000}"/>
    <cellStyle name="Percent 2 11 4" xfId="1420" xr:uid="{00000000-0005-0000-0000-000091050000}"/>
    <cellStyle name="Percent 2 11 5" xfId="1421" xr:uid="{00000000-0005-0000-0000-000092050000}"/>
    <cellStyle name="Percent 2 11 6" xfId="1422" xr:uid="{00000000-0005-0000-0000-000093050000}"/>
    <cellStyle name="Percent 2 11 7" xfId="1423" xr:uid="{00000000-0005-0000-0000-000094050000}"/>
    <cellStyle name="Percent 2 11 8" xfId="1424" xr:uid="{00000000-0005-0000-0000-000095050000}"/>
    <cellStyle name="Percent 2 12" xfId="1425" xr:uid="{00000000-0005-0000-0000-000096050000}"/>
    <cellStyle name="Percent 2 13" xfId="1426" xr:uid="{00000000-0005-0000-0000-000097050000}"/>
    <cellStyle name="Percent 2 14" xfId="1427" xr:uid="{00000000-0005-0000-0000-000098050000}"/>
    <cellStyle name="Percent 2 15" xfId="1428" xr:uid="{00000000-0005-0000-0000-000099050000}"/>
    <cellStyle name="Percent 2 16" xfId="1429" xr:uid="{00000000-0005-0000-0000-00009A050000}"/>
    <cellStyle name="Percent 2 17" xfId="1430" xr:uid="{00000000-0005-0000-0000-00009B050000}"/>
    <cellStyle name="Percent 2 18" xfId="1431" xr:uid="{00000000-0005-0000-0000-00009C050000}"/>
    <cellStyle name="Percent 2 2" xfId="1432" xr:uid="{00000000-0005-0000-0000-00009D050000}"/>
    <cellStyle name="Percent 2 2 2" xfId="1433" xr:uid="{00000000-0005-0000-0000-00009E050000}"/>
    <cellStyle name="Percent 2 2 3" xfId="1434" xr:uid="{00000000-0005-0000-0000-00009F050000}"/>
    <cellStyle name="Percent 2 2 4" xfId="1435" xr:uid="{00000000-0005-0000-0000-0000A0050000}"/>
    <cellStyle name="Percent 2 2 5" xfId="1436" xr:uid="{00000000-0005-0000-0000-0000A1050000}"/>
    <cellStyle name="Percent 2 2 6" xfId="1437" xr:uid="{00000000-0005-0000-0000-0000A2050000}"/>
    <cellStyle name="Percent 2 2 7" xfId="1438" xr:uid="{00000000-0005-0000-0000-0000A3050000}"/>
    <cellStyle name="Percent 2 2 8" xfId="1439" xr:uid="{00000000-0005-0000-0000-0000A4050000}"/>
    <cellStyle name="Percent 2 3" xfId="1440" xr:uid="{00000000-0005-0000-0000-0000A5050000}"/>
    <cellStyle name="Percent 2 3 2" xfId="1441" xr:uid="{00000000-0005-0000-0000-0000A6050000}"/>
    <cellStyle name="Percent 2 3 3" xfId="1442" xr:uid="{00000000-0005-0000-0000-0000A7050000}"/>
    <cellStyle name="Percent 2 3 4" xfId="1443" xr:uid="{00000000-0005-0000-0000-0000A8050000}"/>
    <cellStyle name="Percent 2 3 5" xfId="1444" xr:uid="{00000000-0005-0000-0000-0000A9050000}"/>
    <cellStyle name="Percent 2 3 6" xfId="1445" xr:uid="{00000000-0005-0000-0000-0000AA050000}"/>
    <cellStyle name="Percent 2 3 7" xfId="1446" xr:uid="{00000000-0005-0000-0000-0000AB050000}"/>
    <cellStyle name="Percent 2 3 8" xfId="1447" xr:uid="{00000000-0005-0000-0000-0000AC050000}"/>
    <cellStyle name="Percent 2 4" xfId="1448" xr:uid="{00000000-0005-0000-0000-0000AD050000}"/>
    <cellStyle name="Percent 2 4 2" xfId="1449" xr:uid="{00000000-0005-0000-0000-0000AE050000}"/>
    <cellStyle name="Percent 2 4 3" xfId="1450" xr:uid="{00000000-0005-0000-0000-0000AF050000}"/>
    <cellStyle name="Percent 2 4 4" xfId="1451" xr:uid="{00000000-0005-0000-0000-0000B0050000}"/>
    <cellStyle name="Percent 2 4 5" xfId="1452" xr:uid="{00000000-0005-0000-0000-0000B1050000}"/>
    <cellStyle name="Percent 2 4 6" xfId="1453" xr:uid="{00000000-0005-0000-0000-0000B2050000}"/>
    <cellStyle name="Percent 2 4 7" xfId="1454" xr:uid="{00000000-0005-0000-0000-0000B3050000}"/>
    <cellStyle name="Percent 2 4 8" xfId="1455" xr:uid="{00000000-0005-0000-0000-0000B4050000}"/>
    <cellStyle name="Percent 2 5" xfId="1456" xr:uid="{00000000-0005-0000-0000-0000B5050000}"/>
    <cellStyle name="Percent 2 5 2" xfId="1457" xr:uid="{00000000-0005-0000-0000-0000B6050000}"/>
    <cellStyle name="Percent 2 5 3" xfId="1458" xr:uid="{00000000-0005-0000-0000-0000B7050000}"/>
    <cellStyle name="Percent 2 5 4" xfId="1459" xr:uid="{00000000-0005-0000-0000-0000B8050000}"/>
    <cellStyle name="Percent 2 5 5" xfId="1460" xr:uid="{00000000-0005-0000-0000-0000B9050000}"/>
    <cellStyle name="Percent 2 5 6" xfId="1461" xr:uid="{00000000-0005-0000-0000-0000BA050000}"/>
    <cellStyle name="Percent 2 5 7" xfId="1462" xr:uid="{00000000-0005-0000-0000-0000BB050000}"/>
    <cellStyle name="Percent 2 5 8" xfId="1463" xr:uid="{00000000-0005-0000-0000-0000BC050000}"/>
    <cellStyle name="Percent 2 6" xfId="1464" xr:uid="{00000000-0005-0000-0000-0000BD050000}"/>
    <cellStyle name="Percent 2 6 2" xfId="1465" xr:uid="{00000000-0005-0000-0000-0000BE050000}"/>
    <cellStyle name="Percent 2 6 3" xfId="1466" xr:uid="{00000000-0005-0000-0000-0000BF050000}"/>
    <cellStyle name="Percent 2 6 4" xfId="1467" xr:uid="{00000000-0005-0000-0000-0000C0050000}"/>
    <cellStyle name="Percent 2 6 5" xfId="1468" xr:uid="{00000000-0005-0000-0000-0000C1050000}"/>
    <cellStyle name="Percent 2 6 6" xfId="1469" xr:uid="{00000000-0005-0000-0000-0000C2050000}"/>
    <cellStyle name="Percent 2 6 7" xfId="1470" xr:uid="{00000000-0005-0000-0000-0000C3050000}"/>
    <cellStyle name="Percent 2 6 8" xfId="1471" xr:uid="{00000000-0005-0000-0000-0000C4050000}"/>
    <cellStyle name="Percent 2 7" xfId="1472" xr:uid="{00000000-0005-0000-0000-0000C5050000}"/>
    <cellStyle name="Percent 2 7 2" xfId="1473" xr:uid="{00000000-0005-0000-0000-0000C6050000}"/>
    <cellStyle name="Percent 2 7 3" xfId="1474" xr:uid="{00000000-0005-0000-0000-0000C7050000}"/>
    <cellStyle name="Percent 2 7 4" xfId="1475" xr:uid="{00000000-0005-0000-0000-0000C8050000}"/>
    <cellStyle name="Percent 2 7 5" xfId="1476" xr:uid="{00000000-0005-0000-0000-0000C9050000}"/>
    <cellStyle name="Percent 2 7 6" xfId="1477" xr:uid="{00000000-0005-0000-0000-0000CA050000}"/>
    <cellStyle name="Percent 2 7 7" xfId="1478" xr:uid="{00000000-0005-0000-0000-0000CB050000}"/>
    <cellStyle name="Percent 2 7 8" xfId="1479" xr:uid="{00000000-0005-0000-0000-0000CC050000}"/>
    <cellStyle name="Percent 2 8" xfId="1480" xr:uid="{00000000-0005-0000-0000-0000CD050000}"/>
    <cellStyle name="Percent 2 8 2" xfId="1481" xr:uid="{00000000-0005-0000-0000-0000CE050000}"/>
    <cellStyle name="Percent 2 8 3" xfId="1482" xr:uid="{00000000-0005-0000-0000-0000CF050000}"/>
    <cellStyle name="Percent 2 8 4" xfId="1483" xr:uid="{00000000-0005-0000-0000-0000D0050000}"/>
    <cellStyle name="Percent 2 8 5" xfId="1484" xr:uid="{00000000-0005-0000-0000-0000D1050000}"/>
    <cellStyle name="Percent 2 8 6" xfId="1485" xr:uid="{00000000-0005-0000-0000-0000D2050000}"/>
    <cellStyle name="Percent 2 8 7" xfId="1486" xr:uid="{00000000-0005-0000-0000-0000D3050000}"/>
    <cellStyle name="Percent 2 8 8" xfId="1487" xr:uid="{00000000-0005-0000-0000-0000D4050000}"/>
    <cellStyle name="Percent 2 9" xfId="1488" xr:uid="{00000000-0005-0000-0000-0000D5050000}"/>
    <cellStyle name="Percent 2 9 2" xfId="1489" xr:uid="{00000000-0005-0000-0000-0000D6050000}"/>
    <cellStyle name="Percent 2 9 3" xfId="1490" xr:uid="{00000000-0005-0000-0000-0000D7050000}"/>
    <cellStyle name="Percent 2 9 4" xfId="1491" xr:uid="{00000000-0005-0000-0000-0000D8050000}"/>
    <cellStyle name="Percent 2 9 5" xfId="1492" xr:uid="{00000000-0005-0000-0000-0000D9050000}"/>
    <cellStyle name="Percent 2 9 6" xfId="1493" xr:uid="{00000000-0005-0000-0000-0000DA050000}"/>
    <cellStyle name="Percent 2 9 7" xfId="1494" xr:uid="{00000000-0005-0000-0000-0000DB050000}"/>
    <cellStyle name="Percent 2 9 8" xfId="1495" xr:uid="{00000000-0005-0000-0000-0000DC050000}"/>
    <cellStyle name="Percent 3" xfId="1496" xr:uid="{00000000-0005-0000-0000-0000DD050000}"/>
    <cellStyle name="Percent 3 2" xfId="1497" xr:uid="{00000000-0005-0000-0000-0000DE050000}"/>
    <cellStyle name="Percent 3 3" xfId="1498" xr:uid="{00000000-0005-0000-0000-0000DF050000}"/>
    <cellStyle name="Percent 3 4" xfId="1499" xr:uid="{00000000-0005-0000-0000-0000E0050000}"/>
    <cellStyle name="Percent 3 5" xfId="1500" xr:uid="{00000000-0005-0000-0000-0000E1050000}"/>
    <cellStyle name="Percent 3 6" xfId="1501" xr:uid="{00000000-0005-0000-0000-0000E2050000}"/>
    <cellStyle name="Percent 3 7" xfId="1502" xr:uid="{00000000-0005-0000-0000-0000E3050000}"/>
    <cellStyle name="Percent 3 8" xfId="1503" xr:uid="{00000000-0005-0000-0000-0000E4050000}"/>
    <cellStyle name="Percent 4" xfId="1504" xr:uid="{00000000-0005-0000-0000-0000E5050000}"/>
    <cellStyle name="Percent 4 10" xfId="1505" xr:uid="{00000000-0005-0000-0000-0000E6050000}"/>
    <cellStyle name="Percent 4 11" xfId="1506" xr:uid="{00000000-0005-0000-0000-0000E7050000}"/>
    <cellStyle name="Percent 4 12" xfId="1507" xr:uid="{00000000-0005-0000-0000-0000E8050000}"/>
    <cellStyle name="Percent 4 13" xfId="1508" xr:uid="{00000000-0005-0000-0000-0000E9050000}"/>
    <cellStyle name="Percent 4 2" xfId="1509" xr:uid="{00000000-0005-0000-0000-0000EA050000}"/>
    <cellStyle name="Percent 4 2 2" xfId="1510" xr:uid="{00000000-0005-0000-0000-0000EB050000}"/>
    <cellStyle name="Percent 4 2 3" xfId="1511" xr:uid="{00000000-0005-0000-0000-0000EC050000}"/>
    <cellStyle name="Percent 4 2 4" xfId="1512" xr:uid="{00000000-0005-0000-0000-0000ED050000}"/>
    <cellStyle name="Percent 4 2 5" xfId="1513" xr:uid="{00000000-0005-0000-0000-0000EE050000}"/>
    <cellStyle name="Percent 4 2 6" xfId="1514" xr:uid="{00000000-0005-0000-0000-0000EF050000}"/>
    <cellStyle name="Percent 4 2 7" xfId="1515" xr:uid="{00000000-0005-0000-0000-0000F0050000}"/>
    <cellStyle name="Percent 4 2 8" xfId="1516" xr:uid="{00000000-0005-0000-0000-0000F1050000}"/>
    <cellStyle name="Percent 4 3" xfId="1517" xr:uid="{00000000-0005-0000-0000-0000F2050000}"/>
    <cellStyle name="Percent 4 3 2" xfId="1518" xr:uid="{00000000-0005-0000-0000-0000F3050000}"/>
    <cellStyle name="Percent 4 3 3" xfId="1519" xr:uid="{00000000-0005-0000-0000-0000F4050000}"/>
    <cellStyle name="Percent 4 3 4" xfId="1520" xr:uid="{00000000-0005-0000-0000-0000F5050000}"/>
    <cellStyle name="Percent 4 3 5" xfId="1521" xr:uid="{00000000-0005-0000-0000-0000F6050000}"/>
    <cellStyle name="Percent 4 3 6" xfId="1522" xr:uid="{00000000-0005-0000-0000-0000F7050000}"/>
    <cellStyle name="Percent 4 3 7" xfId="1523" xr:uid="{00000000-0005-0000-0000-0000F8050000}"/>
    <cellStyle name="Percent 4 3 8" xfId="1524" xr:uid="{00000000-0005-0000-0000-0000F9050000}"/>
    <cellStyle name="Percent 4 4" xfId="1525" xr:uid="{00000000-0005-0000-0000-0000FA050000}"/>
    <cellStyle name="Percent 4 4 2" xfId="1526" xr:uid="{00000000-0005-0000-0000-0000FB050000}"/>
    <cellStyle name="Percent 4 4 3" xfId="1527" xr:uid="{00000000-0005-0000-0000-0000FC050000}"/>
    <cellStyle name="Percent 4 4 4" xfId="1528" xr:uid="{00000000-0005-0000-0000-0000FD050000}"/>
    <cellStyle name="Percent 4 4 5" xfId="1529" xr:uid="{00000000-0005-0000-0000-0000FE050000}"/>
    <cellStyle name="Percent 4 4 6" xfId="1530" xr:uid="{00000000-0005-0000-0000-0000FF050000}"/>
    <cellStyle name="Percent 4 4 7" xfId="1531" xr:uid="{00000000-0005-0000-0000-000000060000}"/>
    <cellStyle name="Percent 4 4 8" xfId="1532" xr:uid="{00000000-0005-0000-0000-000001060000}"/>
    <cellStyle name="Percent 4 5" xfId="1533" xr:uid="{00000000-0005-0000-0000-000002060000}"/>
    <cellStyle name="Percent 4 5 2" xfId="1534" xr:uid="{00000000-0005-0000-0000-000003060000}"/>
    <cellStyle name="Percent 4 5 3" xfId="1535" xr:uid="{00000000-0005-0000-0000-000004060000}"/>
    <cellStyle name="Percent 4 5 4" xfId="1536" xr:uid="{00000000-0005-0000-0000-000005060000}"/>
    <cellStyle name="Percent 4 5 5" xfId="1537" xr:uid="{00000000-0005-0000-0000-000006060000}"/>
    <cellStyle name="Percent 4 5 6" xfId="1538" xr:uid="{00000000-0005-0000-0000-000007060000}"/>
    <cellStyle name="Percent 4 5 7" xfId="1539" xr:uid="{00000000-0005-0000-0000-000008060000}"/>
    <cellStyle name="Percent 4 5 8" xfId="1540" xr:uid="{00000000-0005-0000-0000-000009060000}"/>
    <cellStyle name="Percent 4 6" xfId="1541" xr:uid="{00000000-0005-0000-0000-00000A060000}"/>
    <cellStyle name="Percent 4 6 2" xfId="1542" xr:uid="{00000000-0005-0000-0000-00000B060000}"/>
    <cellStyle name="Percent 4 6 3" xfId="1543" xr:uid="{00000000-0005-0000-0000-00000C060000}"/>
    <cellStyle name="Percent 4 6 4" xfId="1544" xr:uid="{00000000-0005-0000-0000-00000D060000}"/>
    <cellStyle name="Percent 4 6 5" xfId="1545" xr:uid="{00000000-0005-0000-0000-00000E060000}"/>
    <cellStyle name="Percent 4 6 6" xfId="1546" xr:uid="{00000000-0005-0000-0000-00000F060000}"/>
    <cellStyle name="Percent 4 6 7" xfId="1547" xr:uid="{00000000-0005-0000-0000-000010060000}"/>
    <cellStyle name="Percent 4 6 8" xfId="1548" xr:uid="{00000000-0005-0000-0000-000011060000}"/>
    <cellStyle name="Percent 4 7" xfId="1549" xr:uid="{00000000-0005-0000-0000-000012060000}"/>
    <cellStyle name="Percent 4 8" xfId="1550" xr:uid="{00000000-0005-0000-0000-000013060000}"/>
    <cellStyle name="Percent 4 9" xfId="1551" xr:uid="{00000000-0005-0000-0000-000014060000}"/>
    <cellStyle name="Percent 5" xfId="1552" xr:uid="{00000000-0005-0000-0000-000015060000}"/>
    <cellStyle name="Percent 5 2" xfId="1553" xr:uid="{00000000-0005-0000-0000-000016060000}"/>
    <cellStyle name="Percent 5 3" xfId="1554" xr:uid="{00000000-0005-0000-0000-000017060000}"/>
    <cellStyle name="Percent 5 4" xfId="1555" xr:uid="{00000000-0005-0000-0000-000018060000}"/>
    <cellStyle name="Percent 5 5" xfId="1556" xr:uid="{00000000-0005-0000-0000-000019060000}"/>
    <cellStyle name="Percent 5 6" xfId="1557" xr:uid="{00000000-0005-0000-0000-00001A060000}"/>
    <cellStyle name="Percent 5 7" xfId="1558" xr:uid="{00000000-0005-0000-0000-00001B060000}"/>
    <cellStyle name="Percent 5 8" xfId="1559" xr:uid="{00000000-0005-0000-0000-00001C060000}"/>
    <cellStyle name="Percent 6" xfId="1560" xr:uid="{00000000-0005-0000-0000-00001D060000}"/>
    <cellStyle name="Percent 6 2" xfId="1561" xr:uid="{00000000-0005-0000-0000-00001E060000}"/>
    <cellStyle name="Percent 6 3" xfId="1562" xr:uid="{00000000-0005-0000-0000-00001F060000}"/>
    <cellStyle name="Percent 6 4" xfId="1563" xr:uid="{00000000-0005-0000-0000-000020060000}"/>
    <cellStyle name="Percent 6 5" xfId="1564" xr:uid="{00000000-0005-0000-0000-000021060000}"/>
    <cellStyle name="Percent 6 6" xfId="1565" xr:uid="{00000000-0005-0000-0000-000022060000}"/>
    <cellStyle name="Percent 6 7" xfId="1566" xr:uid="{00000000-0005-0000-0000-000023060000}"/>
    <cellStyle name="Percent 6 8" xfId="1567" xr:uid="{00000000-0005-0000-0000-000024060000}"/>
    <cellStyle name="Percent 7" xfId="1568" xr:uid="{00000000-0005-0000-0000-000025060000}"/>
    <cellStyle name="Percent 7 2" xfId="1569" xr:uid="{00000000-0005-0000-0000-000026060000}"/>
    <cellStyle name="Percent 7 3" xfId="1570" xr:uid="{00000000-0005-0000-0000-000027060000}"/>
    <cellStyle name="Percent 7 4" xfId="1571" xr:uid="{00000000-0005-0000-0000-000028060000}"/>
    <cellStyle name="Percent 7 5" xfId="1572" xr:uid="{00000000-0005-0000-0000-000029060000}"/>
    <cellStyle name="Percent 7 6" xfId="1573" xr:uid="{00000000-0005-0000-0000-00002A060000}"/>
    <cellStyle name="Percent 7 7" xfId="1574" xr:uid="{00000000-0005-0000-0000-00002B060000}"/>
    <cellStyle name="Percent 7 8" xfId="1575" xr:uid="{00000000-0005-0000-0000-00002C060000}"/>
    <cellStyle name="Percent 8" xfId="1576" xr:uid="{00000000-0005-0000-0000-00002D060000}"/>
    <cellStyle name="Percent 8 2" xfId="1577" xr:uid="{00000000-0005-0000-0000-00002E060000}"/>
    <cellStyle name="Percent 8 3" xfId="1578" xr:uid="{00000000-0005-0000-0000-00002F060000}"/>
    <cellStyle name="Percent 8 4" xfId="1579" xr:uid="{00000000-0005-0000-0000-000030060000}"/>
    <cellStyle name="Percent 8 5" xfId="1580" xr:uid="{00000000-0005-0000-0000-000031060000}"/>
    <cellStyle name="Percent 8 6" xfId="1581" xr:uid="{00000000-0005-0000-0000-000032060000}"/>
    <cellStyle name="Percent 8 7" xfId="1582" xr:uid="{00000000-0005-0000-0000-000033060000}"/>
    <cellStyle name="Percent 8 8" xfId="1583" xr:uid="{00000000-0005-0000-0000-000034060000}"/>
    <cellStyle name="Percent 9" xfId="1584" xr:uid="{00000000-0005-0000-0000-000035060000}"/>
    <cellStyle name="Percent 9 2" xfId="1585" xr:uid="{00000000-0005-0000-0000-000036060000}"/>
    <cellStyle name="Percent 9 3" xfId="1586" xr:uid="{00000000-0005-0000-0000-000037060000}"/>
    <cellStyle name="Percent 9 4" xfId="1587" xr:uid="{00000000-0005-0000-0000-000038060000}"/>
    <cellStyle name="Percent 9 5" xfId="1588" xr:uid="{00000000-0005-0000-0000-000039060000}"/>
    <cellStyle name="Percent 9 6" xfId="1589" xr:uid="{00000000-0005-0000-0000-00003A060000}"/>
    <cellStyle name="Percent 9 7" xfId="1590" xr:uid="{00000000-0005-0000-0000-00003B060000}"/>
    <cellStyle name="Percent 9 8" xfId="1591" xr:uid="{00000000-0005-0000-0000-00003C060000}"/>
    <cellStyle name="Title 2 10" xfId="1592" xr:uid="{00000000-0005-0000-0000-00003D060000}"/>
    <cellStyle name="Title 2 2" xfId="1593" xr:uid="{00000000-0005-0000-0000-00003E060000}"/>
    <cellStyle name="Title 2 3" xfId="1594" xr:uid="{00000000-0005-0000-0000-00003F060000}"/>
    <cellStyle name="Title 2 4" xfId="1595" xr:uid="{00000000-0005-0000-0000-000040060000}"/>
    <cellStyle name="Title 2 5" xfId="1596" xr:uid="{00000000-0005-0000-0000-000041060000}"/>
    <cellStyle name="Title 2 6" xfId="1597" xr:uid="{00000000-0005-0000-0000-000042060000}"/>
    <cellStyle name="Title 2 7" xfId="1598" xr:uid="{00000000-0005-0000-0000-000043060000}"/>
    <cellStyle name="Title 2 8" xfId="1599" xr:uid="{00000000-0005-0000-0000-000044060000}"/>
    <cellStyle name="Title 2 9" xfId="1600" xr:uid="{00000000-0005-0000-0000-000045060000}"/>
    <cellStyle name="Title 3" xfId="1601" xr:uid="{00000000-0005-0000-0000-000046060000}"/>
    <cellStyle name="Total 2 10" xfId="1602" xr:uid="{00000000-0005-0000-0000-000047060000}"/>
    <cellStyle name="Total 2 2" xfId="1603" xr:uid="{00000000-0005-0000-0000-000048060000}"/>
    <cellStyle name="Total 2 3" xfId="1604" xr:uid="{00000000-0005-0000-0000-000049060000}"/>
    <cellStyle name="Total 2 4" xfId="1605" xr:uid="{00000000-0005-0000-0000-00004A060000}"/>
    <cellStyle name="Total 2 5" xfId="1606" xr:uid="{00000000-0005-0000-0000-00004B060000}"/>
    <cellStyle name="Total 2 6" xfId="1607" xr:uid="{00000000-0005-0000-0000-00004C060000}"/>
    <cellStyle name="Total 2 7" xfId="1608" xr:uid="{00000000-0005-0000-0000-00004D060000}"/>
    <cellStyle name="Total 2 8" xfId="1609" xr:uid="{00000000-0005-0000-0000-00004E060000}"/>
    <cellStyle name="Total 2 9" xfId="1610" xr:uid="{00000000-0005-0000-0000-00004F060000}"/>
    <cellStyle name="Total 3" xfId="1611" xr:uid="{00000000-0005-0000-0000-000050060000}"/>
    <cellStyle name="Warning Text 2 10" xfId="1612" xr:uid="{00000000-0005-0000-0000-000051060000}"/>
    <cellStyle name="Warning Text 2 2" xfId="1613" xr:uid="{00000000-0005-0000-0000-000052060000}"/>
    <cellStyle name="Warning Text 2 3" xfId="1614" xr:uid="{00000000-0005-0000-0000-000053060000}"/>
    <cellStyle name="Warning Text 2 4" xfId="1615" xr:uid="{00000000-0005-0000-0000-000054060000}"/>
    <cellStyle name="Warning Text 2 5" xfId="1616" xr:uid="{00000000-0005-0000-0000-000055060000}"/>
    <cellStyle name="Warning Text 2 6" xfId="1617" xr:uid="{00000000-0005-0000-0000-000056060000}"/>
    <cellStyle name="Warning Text 2 7" xfId="1618" xr:uid="{00000000-0005-0000-0000-000057060000}"/>
    <cellStyle name="Warning Text 2 8" xfId="1619" xr:uid="{00000000-0005-0000-0000-000058060000}"/>
    <cellStyle name="Warning Text 2 9" xfId="1620" xr:uid="{00000000-0005-0000-0000-000059060000}"/>
    <cellStyle name="Warning Text 3" xfId="1621" xr:uid="{00000000-0005-0000-0000-00005A060000}"/>
    <cellStyle name="已访问的超链接" xfId="1622" xr:uid="{00000000-0005-0000-0000-00005B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793B0C-7E95-455C-B0CB-1A9B2502D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0"/>
          <a:ext cx="5800725" cy="23241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4447AE-1FD0-4F28-A1A5-EE6260431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4615" t="8930" r="7743" b="12922"/>
        <a:stretch>
          <a:fillRect/>
        </a:stretch>
      </xdr:blipFill>
      <xdr:spPr>
        <a:xfrm>
          <a:off x="19050" y="8810625"/>
          <a:ext cx="1428750" cy="5715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91EA09E-8916-42B6-AFF9-6AE648928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2625" y="8810625"/>
          <a:ext cx="1247775" cy="5715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49B1B57-E70B-46F9-901A-CE09A3B75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8810625"/>
          <a:ext cx="2019300" cy="57150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A8091D1-74BF-4EFB-AAD8-850904C73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l="1365" t="6561" r="4008" b="6333"/>
        <a:stretch>
          <a:fillRect/>
        </a:stretch>
      </xdr:blipFill>
      <xdr:spPr>
        <a:xfrm>
          <a:off x="3629025" y="7962900"/>
          <a:ext cx="1400175" cy="5715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B27DD0-3AE8-4401-AAF8-48085C118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 l="3996" t="26196" r="3996" b="26194"/>
        <a:stretch>
          <a:fillRect/>
        </a:stretch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54A0F-7158-4F85-B7C3-36851FAE9E89}">
  <sheetPr codeName="Sheet10"/>
  <dimension ref="A1:Z99"/>
  <sheetViews>
    <sheetView showGridLines="0" workbookViewId="0">
      <selection activeCell="F1" sqref="F1"/>
    </sheetView>
  </sheetViews>
  <sheetFormatPr defaultColWidth="8.86328125" defaultRowHeight="14.25"/>
  <cols>
    <col min="1" max="4" width="21.73046875" customWidth="1"/>
    <col min="5" max="6" width="14.1328125" customWidth="1"/>
    <col min="7" max="7" width="12.1328125" customWidth="1"/>
    <col min="8" max="10" width="8.1328125" customWidth="1"/>
    <col min="11" max="11" width="9.73046875" customWidth="1"/>
    <col min="12" max="12" width="8.1328125" customWidth="1"/>
    <col min="13" max="13" width="10" customWidth="1"/>
    <col min="14" max="14" width="11.3984375" customWidth="1"/>
    <col min="15" max="15" width="13.3984375" customWidth="1"/>
  </cols>
  <sheetData>
    <row r="1" spans="1:26">
      <c r="A1" s="4"/>
      <c r="B1" s="4"/>
      <c r="C1" s="4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4"/>
      <c r="B2" s="4"/>
      <c r="C2" s="4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>
      <c r="A3" s="4"/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4"/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4"/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4"/>
      <c r="B7" s="4"/>
      <c r="C7" s="4"/>
      <c r="D7" s="4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4"/>
      <c r="B8" s="4"/>
      <c r="C8" s="4"/>
      <c r="D8" s="4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4"/>
      <c r="B9" s="4"/>
      <c r="C9" s="4"/>
      <c r="D9" s="4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4"/>
      <c r="B10" s="4"/>
      <c r="C10" s="4"/>
      <c r="D10" s="4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4"/>
      <c r="B11" s="4"/>
      <c r="C11" s="4"/>
      <c r="D11" s="4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4"/>
      <c r="B12" s="4"/>
      <c r="C12" s="4"/>
      <c r="D12" s="4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4"/>
      <c r="B13" s="4"/>
      <c r="C13" s="4"/>
      <c r="D13" s="4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4"/>
      <c r="B14" s="4"/>
      <c r="C14" s="4"/>
      <c r="D14" s="4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>
      <c r="A15" s="4"/>
      <c r="B15" s="4"/>
      <c r="C15" s="4"/>
      <c r="D15" s="4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02.75" customHeight="1">
      <c r="A16" s="18" t="s">
        <v>589</v>
      </c>
      <c r="B16" s="18"/>
      <c r="C16" s="18"/>
      <c r="D16" s="18"/>
      <c r="E16" s="6"/>
      <c r="F16" s="6"/>
      <c r="G16" s="7"/>
      <c r="H16" s="7"/>
      <c r="I16" s="7"/>
      <c r="J16" s="7"/>
      <c r="K16" s="7"/>
      <c r="L16" s="7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7.25" customHeight="1">
      <c r="A17" s="8"/>
      <c r="B17" s="8"/>
      <c r="C17" s="8"/>
      <c r="D17" s="8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7.25" customHeight="1">
      <c r="A18" s="8"/>
      <c r="B18" s="8"/>
      <c r="C18" s="8"/>
      <c r="D18" s="8"/>
      <c r="E18" s="9"/>
      <c r="F18" s="9"/>
      <c r="G18" s="10"/>
      <c r="H18" s="10"/>
      <c r="I18" s="10"/>
      <c r="J18" s="10"/>
      <c r="K18" s="10"/>
      <c r="L18" s="10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7.25" customHeight="1">
      <c r="A19" s="11" t="s">
        <v>590</v>
      </c>
      <c r="B19" s="17" t="s">
        <v>601</v>
      </c>
      <c r="C19" s="17"/>
      <c r="D19" s="17"/>
      <c r="E19" s="12"/>
      <c r="F19" s="12"/>
      <c r="G19" s="13"/>
      <c r="H19" s="13"/>
      <c r="I19" s="13"/>
      <c r="J19" s="13"/>
      <c r="K19" s="13"/>
      <c r="L19" s="13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7.25" customHeight="1">
      <c r="A20" s="11" t="s">
        <v>591</v>
      </c>
      <c r="B20" s="17" t="s">
        <v>602</v>
      </c>
      <c r="C20" s="17"/>
      <c r="D20" s="17"/>
      <c r="E20" s="12"/>
      <c r="F20" s="12"/>
      <c r="G20" s="13"/>
      <c r="H20" s="13"/>
      <c r="I20" s="13"/>
      <c r="J20" s="13"/>
      <c r="K20" s="13"/>
      <c r="L20" s="13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7.25" customHeight="1">
      <c r="A21" s="11" t="s">
        <v>592</v>
      </c>
      <c r="B21" s="2" t="s">
        <v>603</v>
      </c>
      <c r="C21" s="2"/>
      <c r="D21" s="2"/>
      <c r="E21" s="12"/>
      <c r="F21" s="12"/>
      <c r="G21" s="13"/>
      <c r="H21" s="13"/>
      <c r="I21" s="13"/>
      <c r="J21" s="13"/>
      <c r="K21" s="13"/>
      <c r="L21" s="13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7.25" customHeight="1">
      <c r="A22" s="11"/>
      <c r="B22" s="2"/>
      <c r="C22" s="2"/>
      <c r="D22" s="2"/>
      <c r="E22" s="12"/>
      <c r="F22" s="12"/>
      <c r="G22" s="13"/>
      <c r="H22" s="13"/>
      <c r="I22" s="13"/>
      <c r="J22" s="13"/>
      <c r="K22" s="13"/>
      <c r="L22" s="13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7.25" customHeight="1">
      <c r="A23" s="11" t="s">
        <v>593</v>
      </c>
      <c r="B23" s="17" t="s">
        <v>604</v>
      </c>
      <c r="C23" s="17"/>
      <c r="D23" s="17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7.25" customHeight="1">
      <c r="A24" s="11"/>
      <c r="B24" s="2"/>
      <c r="C24" s="2"/>
      <c r="D24" s="2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7.25" customHeight="1">
      <c r="A25" s="11"/>
      <c r="B25" s="2"/>
      <c r="C25" s="2"/>
      <c r="D25" s="2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7.25" customHeight="1">
      <c r="A26" s="11" t="s">
        <v>594</v>
      </c>
      <c r="B26" s="17" t="s">
        <v>604</v>
      </c>
      <c r="C26" s="17"/>
      <c r="D26" s="17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7.25" customHeight="1">
      <c r="A27" s="11"/>
      <c r="B27" s="2"/>
      <c r="C27" s="2"/>
      <c r="D27" s="2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7.25" customHeight="1">
      <c r="A28" s="11"/>
      <c r="B28" s="2"/>
      <c r="C28" s="2"/>
      <c r="D28" s="2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7.25" customHeight="1">
      <c r="A29" s="11" t="s">
        <v>595</v>
      </c>
      <c r="B29" s="14">
        <v>1</v>
      </c>
      <c r="C29" s="2"/>
      <c r="D29" s="2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7.25" customHeight="1">
      <c r="A30" s="11" t="s">
        <v>596</v>
      </c>
      <c r="B30" s="19" t="s">
        <v>597</v>
      </c>
      <c r="C30" s="17"/>
      <c r="D30" s="17"/>
      <c r="E30" s="15"/>
      <c r="F30" s="1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7.25" customHeight="1">
      <c r="A31" s="11" t="s">
        <v>598</v>
      </c>
      <c r="B31" s="17" t="s">
        <v>599</v>
      </c>
      <c r="C31" s="17"/>
      <c r="D31" s="17"/>
      <c r="E31" s="15"/>
      <c r="F31" s="1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7.25" customHeight="1">
      <c r="A32" s="16"/>
      <c r="B32" s="1" t="s">
        <v>600</v>
      </c>
      <c r="C32" s="16"/>
      <c r="D32" s="16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>
      <c r="A33" s="4"/>
      <c r="B33" s="4"/>
      <c r="C33" s="4"/>
      <c r="D33" s="4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>
      <c r="A34" s="4"/>
      <c r="B34" s="4"/>
      <c r="C34" s="4"/>
      <c r="D34" s="4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>
      <c r="A35" s="4"/>
      <c r="B35" s="4"/>
      <c r="C35" s="4"/>
      <c r="D35" s="4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>
      <c r="A36" s="4"/>
      <c r="B36" s="4"/>
      <c r="C36" s="4"/>
      <c r="D36" s="4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>
      <c r="A37" s="4"/>
      <c r="B37" s="4"/>
      <c r="C37" s="4"/>
      <c r="D37" s="4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>
      <c r="A38" s="4"/>
      <c r="B38" s="4"/>
      <c r="C38" s="4"/>
      <c r="D38" s="4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>
      <c r="A39" s="4"/>
      <c r="B39" s="4"/>
      <c r="C39" s="4"/>
      <c r="D39" s="4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>
      <c r="A40" s="4"/>
      <c r="B40" s="4"/>
      <c r="C40" s="4"/>
      <c r="D40" s="4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>
      <c r="A41" s="4"/>
      <c r="B41" s="4"/>
      <c r="C41" s="4"/>
      <c r="D41" s="4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>
      <c r="A42" s="4"/>
      <c r="B42" s="4"/>
      <c r="C42" s="4"/>
      <c r="D42" s="4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</sheetData>
  <mergeCells count="7">
    <mergeCell ref="B31:D31"/>
    <mergeCell ref="A16:D16"/>
    <mergeCell ref="B19:D19"/>
    <mergeCell ref="B20:D20"/>
    <mergeCell ref="B23:D23"/>
    <mergeCell ref="B26:D26"/>
    <mergeCell ref="B30:D30"/>
  </mergeCells>
  <hyperlinks>
    <hyperlink ref="B30" r:id="rId1" xr:uid="{00000000-0004-0000-0000-000000000000}"/>
    <hyperlink ref="B32" r:id="rId2" xr:uid="{00000000-0004-0000-0000-000001000000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CDF15-1442-474A-ACC7-D199AB8A1E18}">
  <sheetPr codeName="Sheet1">
    <tabColor rgb="FF92D050"/>
  </sheetPr>
  <dimension ref="A1:J83"/>
  <sheetViews>
    <sheetView topLeftCell="A46" zoomScale="90" zoomScaleNormal="90" workbookViewId="0">
      <selection activeCell="E85" sqref="E85"/>
    </sheetView>
  </sheetViews>
  <sheetFormatPr defaultRowHeight="14.25"/>
  <cols>
    <col min="4" max="4" width="17.86328125" bestFit="1" customWidth="1"/>
    <col min="5" max="5" width="40.73046875" bestFit="1" customWidth="1"/>
  </cols>
  <sheetData>
    <row r="1" spans="1:10">
      <c r="A1" t="s">
        <v>70</v>
      </c>
    </row>
    <row r="2" spans="1:10">
      <c r="A2" t="s">
        <v>71</v>
      </c>
      <c r="B2" t="s">
        <v>72</v>
      </c>
      <c r="C2" t="s">
        <v>73</v>
      </c>
      <c r="D2" t="s">
        <v>6</v>
      </c>
      <c r="E2" t="s">
        <v>7</v>
      </c>
      <c r="F2" t="s">
        <v>74</v>
      </c>
      <c r="G2" t="s">
        <v>75</v>
      </c>
      <c r="H2" t="s">
        <v>76</v>
      </c>
      <c r="I2" t="s">
        <v>77</v>
      </c>
      <c r="J2" t="s">
        <v>12</v>
      </c>
    </row>
    <row r="3" spans="1:10">
      <c r="A3" t="s">
        <v>165</v>
      </c>
      <c r="B3" t="s">
        <v>166</v>
      </c>
      <c r="D3" t="s">
        <v>108</v>
      </c>
      <c r="E3" t="s">
        <v>109</v>
      </c>
      <c r="F3" t="s">
        <v>15</v>
      </c>
      <c r="G3" t="s">
        <v>15</v>
      </c>
      <c r="H3" t="s">
        <v>15</v>
      </c>
      <c r="I3" t="s">
        <v>16</v>
      </c>
    </row>
    <row r="4" spans="1:10">
      <c r="A4" t="s">
        <v>165</v>
      </c>
      <c r="B4" t="s">
        <v>504</v>
      </c>
      <c r="D4" t="s">
        <v>417</v>
      </c>
      <c r="E4" t="s">
        <v>426</v>
      </c>
      <c r="F4" t="s">
        <v>15</v>
      </c>
      <c r="G4" t="s">
        <v>15</v>
      </c>
      <c r="H4" t="s">
        <v>15</v>
      </c>
      <c r="I4" t="s">
        <v>16</v>
      </c>
    </row>
    <row r="5" spans="1:10">
      <c r="A5" t="s">
        <v>165</v>
      </c>
      <c r="B5" t="s">
        <v>189</v>
      </c>
      <c r="D5" t="s">
        <v>110</v>
      </c>
      <c r="E5" t="s">
        <v>111</v>
      </c>
      <c r="F5" t="s">
        <v>15</v>
      </c>
      <c r="G5" t="s">
        <v>15</v>
      </c>
      <c r="H5" t="s">
        <v>15</v>
      </c>
      <c r="I5" t="s">
        <v>16</v>
      </c>
    </row>
    <row r="6" spans="1:10">
      <c r="A6" t="s">
        <v>165</v>
      </c>
      <c r="B6" t="s">
        <v>167</v>
      </c>
      <c r="D6" t="s">
        <v>112</v>
      </c>
      <c r="E6" t="s">
        <v>113</v>
      </c>
      <c r="F6" t="s">
        <v>15</v>
      </c>
      <c r="G6" t="s">
        <v>15</v>
      </c>
      <c r="H6" t="s">
        <v>15</v>
      </c>
      <c r="I6" t="s">
        <v>16</v>
      </c>
    </row>
    <row r="7" spans="1:10">
      <c r="A7" t="s">
        <v>165</v>
      </c>
      <c r="B7" t="s">
        <v>168</v>
      </c>
      <c r="D7" t="s">
        <v>114</v>
      </c>
      <c r="E7" t="s">
        <v>115</v>
      </c>
      <c r="F7" t="s">
        <v>15</v>
      </c>
      <c r="G7" t="s">
        <v>15</v>
      </c>
      <c r="H7" t="s">
        <v>15</v>
      </c>
      <c r="I7" t="s">
        <v>16</v>
      </c>
    </row>
    <row r="8" spans="1:10">
      <c r="A8" t="s">
        <v>137</v>
      </c>
      <c r="B8" t="s">
        <v>169</v>
      </c>
      <c r="D8" t="s">
        <v>206</v>
      </c>
      <c r="E8" t="s">
        <v>116</v>
      </c>
      <c r="F8" t="s">
        <v>15</v>
      </c>
      <c r="G8" t="s">
        <v>15</v>
      </c>
      <c r="H8" t="s">
        <v>15</v>
      </c>
      <c r="I8" t="s">
        <v>16</v>
      </c>
    </row>
    <row r="9" spans="1:10">
      <c r="A9" t="s">
        <v>137</v>
      </c>
      <c r="B9" t="s">
        <v>170</v>
      </c>
      <c r="D9" t="s">
        <v>207</v>
      </c>
      <c r="E9" t="s">
        <v>117</v>
      </c>
      <c r="F9" t="s">
        <v>15</v>
      </c>
      <c r="G9" t="s">
        <v>16</v>
      </c>
      <c r="H9" t="s">
        <v>15</v>
      </c>
      <c r="I9" t="s">
        <v>16</v>
      </c>
    </row>
    <row r="10" spans="1:10">
      <c r="A10" t="s">
        <v>137</v>
      </c>
      <c r="B10" t="s">
        <v>502</v>
      </c>
      <c r="D10" t="s">
        <v>418</v>
      </c>
      <c r="E10" t="s">
        <v>427</v>
      </c>
      <c r="F10" t="s">
        <v>15</v>
      </c>
      <c r="G10" t="s">
        <v>16</v>
      </c>
      <c r="H10" t="s">
        <v>15</v>
      </c>
      <c r="I10" t="s">
        <v>16</v>
      </c>
    </row>
    <row r="11" spans="1:10">
      <c r="A11" t="s">
        <v>137</v>
      </c>
      <c r="B11" t="s">
        <v>171</v>
      </c>
      <c r="D11" t="s">
        <v>208</v>
      </c>
      <c r="E11" t="s">
        <v>118</v>
      </c>
      <c r="F11" t="s">
        <v>15</v>
      </c>
      <c r="G11" t="s">
        <v>16</v>
      </c>
      <c r="H11" t="s">
        <v>15</v>
      </c>
      <c r="I11" t="s">
        <v>16</v>
      </c>
    </row>
    <row r="12" spans="1:10">
      <c r="A12" t="s">
        <v>137</v>
      </c>
      <c r="B12" t="s">
        <v>172</v>
      </c>
      <c r="D12" t="s">
        <v>209</v>
      </c>
      <c r="E12" t="s">
        <v>119</v>
      </c>
      <c r="F12" t="s">
        <v>15</v>
      </c>
      <c r="G12" t="s">
        <v>16</v>
      </c>
      <c r="H12" t="s">
        <v>15</v>
      </c>
      <c r="I12" t="s">
        <v>16</v>
      </c>
    </row>
    <row r="13" spans="1:10">
      <c r="A13" t="s">
        <v>137</v>
      </c>
      <c r="B13" t="s">
        <v>173</v>
      </c>
      <c r="D13" t="s">
        <v>210</v>
      </c>
      <c r="E13" t="s">
        <v>120</v>
      </c>
      <c r="F13" t="s">
        <v>15</v>
      </c>
      <c r="G13" t="s">
        <v>16</v>
      </c>
      <c r="H13" t="s">
        <v>15</v>
      </c>
      <c r="I13" t="s">
        <v>16</v>
      </c>
    </row>
    <row r="14" spans="1:10">
      <c r="A14" t="s">
        <v>137</v>
      </c>
      <c r="B14" t="s">
        <v>503</v>
      </c>
      <c r="D14" t="s">
        <v>211</v>
      </c>
      <c r="E14" t="s">
        <v>121</v>
      </c>
      <c r="F14" t="s">
        <v>15</v>
      </c>
      <c r="G14" t="s">
        <v>16</v>
      </c>
      <c r="H14" t="s">
        <v>15</v>
      </c>
      <c r="I14" t="s">
        <v>16</v>
      </c>
    </row>
    <row r="15" spans="1:10">
      <c r="A15" t="s">
        <v>137</v>
      </c>
      <c r="B15" t="s">
        <v>174</v>
      </c>
      <c r="D15" t="s">
        <v>212</v>
      </c>
      <c r="E15" t="s">
        <v>122</v>
      </c>
      <c r="F15" t="s">
        <v>15</v>
      </c>
      <c r="G15" t="s">
        <v>16</v>
      </c>
      <c r="H15" t="s">
        <v>15</v>
      </c>
      <c r="I15" t="s">
        <v>16</v>
      </c>
    </row>
    <row r="16" spans="1:10">
      <c r="A16" t="s">
        <v>137</v>
      </c>
      <c r="B16" t="s">
        <v>175</v>
      </c>
      <c r="D16" t="s">
        <v>213</v>
      </c>
      <c r="E16" t="s">
        <v>123</v>
      </c>
      <c r="F16" t="s">
        <v>605</v>
      </c>
      <c r="G16" t="s">
        <v>605</v>
      </c>
      <c r="H16" t="s">
        <v>605</v>
      </c>
      <c r="I16" t="s">
        <v>606</v>
      </c>
    </row>
    <row r="17" spans="1:9">
      <c r="A17" t="s">
        <v>137</v>
      </c>
      <c r="B17" t="s">
        <v>176</v>
      </c>
      <c r="D17" t="s">
        <v>214</v>
      </c>
      <c r="E17" t="s">
        <v>124</v>
      </c>
      <c r="F17" t="s">
        <v>15</v>
      </c>
      <c r="G17" t="s">
        <v>16</v>
      </c>
      <c r="H17" t="s">
        <v>15</v>
      </c>
      <c r="I17" t="s">
        <v>16</v>
      </c>
    </row>
    <row r="18" spans="1:9">
      <c r="A18" t="s">
        <v>137</v>
      </c>
      <c r="B18" t="s">
        <v>505</v>
      </c>
      <c r="D18" t="s">
        <v>419</v>
      </c>
      <c r="E18" t="s">
        <v>428</v>
      </c>
      <c r="F18" t="s">
        <v>15</v>
      </c>
      <c r="G18" t="s">
        <v>16</v>
      </c>
      <c r="H18" t="s">
        <v>15</v>
      </c>
      <c r="I18" t="s">
        <v>16</v>
      </c>
    </row>
    <row r="19" spans="1:9">
      <c r="A19" t="s">
        <v>137</v>
      </c>
      <c r="B19" t="s">
        <v>177</v>
      </c>
      <c r="D19" t="s">
        <v>215</v>
      </c>
      <c r="E19" t="s">
        <v>125</v>
      </c>
      <c r="F19" t="s">
        <v>15</v>
      </c>
      <c r="G19" t="s">
        <v>16</v>
      </c>
      <c r="H19" t="s">
        <v>15</v>
      </c>
      <c r="I19" t="s">
        <v>16</v>
      </c>
    </row>
    <row r="20" spans="1:9">
      <c r="A20" t="s">
        <v>137</v>
      </c>
      <c r="B20" t="s">
        <v>178</v>
      </c>
      <c r="D20" t="s">
        <v>216</v>
      </c>
      <c r="E20" t="s">
        <v>126</v>
      </c>
      <c r="F20" t="s">
        <v>15</v>
      </c>
      <c r="G20" t="s">
        <v>16</v>
      </c>
      <c r="H20" t="s">
        <v>15</v>
      </c>
      <c r="I20" t="s">
        <v>16</v>
      </c>
    </row>
    <row r="21" spans="1:9">
      <c r="A21" t="s">
        <v>137</v>
      </c>
      <c r="B21" t="s">
        <v>179</v>
      </c>
      <c r="D21" t="s">
        <v>217</v>
      </c>
      <c r="E21" t="s">
        <v>127</v>
      </c>
      <c r="F21" t="s">
        <v>15</v>
      </c>
      <c r="G21" t="s">
        <v>16</v>
      </c>
      <c r="H21" t="s">
        <v>15</v>
      </c>
      <c r="I21" t="s">
        <v>16</v>
      </c>
    </row>
    <row r="22" spans="1:9">
      <c r="A22" t="s">
        <v>137</v>
      </c>
      <c r="B22" t="s">
        <v>506</v>
      </c>
      <c r="D22" t="s">
        <v>218</v>
      </c>
      <c r="E22" t="s">
        <v>128</v>
      </c>
      <c r="F22" t="s">
        <v>15</v>
      </c>
      <c r="G22" t="s">
        <v>16</v>
      </c>
      <c r="H22" t="s">
        <v>15</v>
      </c>
      <c r="I22" t="s">
        <v>16</v>
      </c>
    </row>
    <row r="23" spans="1:9">
      <c r="A23" t="s">
        <v>137</v>
      </c>
      <c r="B23" t="s">
        <v>180</v>
      </c>
      <c r="D23" t="s">
        <v>219</v>
      </c>
      <c r="E23" t="s">
        <v>129</v>
      </c>
      <c r="F23" t="s">
        <v>605</v>
      </c>
      <c r="G23" t="s">
        <v>606</v>
      </c>
      <c r="H23" t="s">
        <v>605</v>
      </c>
      <c r="I23" t="s">
        <v>606</v>
      </c>
    </row>
    <row r="24" spans="1:9">
      <c r="A24" t="s">
        <v>137</v>
      </c>
      <c r="B24" t="s">
        <v>181</v>
      </c>
      <c r="D24" t="s">
        <v>220</v>
      </c>
      <c r="E24" t="s">
        <v>130</v>
      </c>
      <c r="F24" t="s">
        <v>15</v>
      </c>
      <c r="G24" t="s">
        <v>15</v>
      </c>
      <c r="H24" t="s">
        <v>15</v>
      </c>
      <c r="I24" t="s">
        <v>16</v>
      </c>
    </row>
    <row r="25" spans="1:9">
      <c r="A25" t="s">
        <v>137</v>
      </c>
      <c r="B25" t="s">
        <v>182</v>
      </c>
      <c r="D25" t="s">
        <v>221</v>
      </c>
      <c r="E25" t="s">
        <v>131</v>
      </c>
      <c r="F25" t="s">
        <v>15</v>
      </c>
      <c r="G25" t="s">
        <v>16</v>
      </c>
      <c r="H25" t="s">
        <v>15</v>
      </c>
      <c r="I25" t="s">
        <v>16</v>
      </c>
    </row>
    <row r="26" spans="1:9">
      <c r="A26" t="s">
        <v>137</v>
      </c>
      <c r="B26" t="s">
        <v>507</v>
      </c>
      <c r="D26" t="s">
        <v>420</v>
      </c>
      <c r="E26" t="s">
        <v>429</v>
      </c>
      <c r="F26" t="s">
        <v>15</v>
      </c>
      <c r="G26" t="s">
        <v>16</v>
      </c>
      <c r="H26" t="s">
        <v>15</v>
      </c>
      <c r="I26" t="s">
        <v>16</v>
      </c>
    </row>
    <row r="27" spans="1:9">
      <c r="A27" t="s">
        <v>137</v>
      </c>
      <c r="B27" t="s">
        <v>183</v>
      </c>
      <c r="D27" t="s">
        <v>222</v>
      </c>
      <c r="E27" t="s">
        <v>132</v>
      </c>
      <c r="F27" t="s">
        <v>15</v>
      </c>
      <c r="G27" t="s">
        <v>16</v>
      </c>
      <c r="H27" t="s">
        <v>15</v>
      </c>
      <c r="I27" t="s">
        <v>16</v>
      </c>
    </row>
    <row r="28" spans="1:9">
      <c r="A28" t="s">
        <v>137</v>
      </c>
      <c r="B28" t="s">
        <v>184</v>
      </c>
      <c r="D28" t="s">
        <v>223</v>
      </c>
      <c r="E28" t="s">
        <v>133</v>
      </c>
      <c r="F28" t="s">
        <v>15</v>
      </c>
      <c r="G28" t="s">
        <v>16</v>
      </c>
      <c r="H28" t="s">
        <v>15</v>
      </c>
      <c r="I28" t="s">
        <v>16</v>
      </c>
    </row>
    <row r="29" spans="1:9">
      <c r="A29" t="s">
        <v>137</v>
      </c>
      <c r="B29" t="s">
        <v>185</v>
      </c>
      <c r="D29" t="s">
        <v>224</v>
      </c>
      <c r="E29" t="s">
        <v>134</v>
      </c>
      <c r="F29" t="s">
        <v>15</v>
      </c>
      <c r="G29" t="s">
        <v>16</v>
      </c>
      <c r="H29" t="s">
        <v>15</v>
      </c>
      <c r="I29" t="s">
        <v>16</v>
      </c>
    </row>
    <row r="30" spans="1:9">
      <c r="A30" t="s">
        <v>137</v>
      </c>
      <c r="B30" t="s">
        <v>508</v>
      </c>
      <c r="D30" t="s">
        <v>225</v>
      </c>
      <c r="E30" t="s">
        <v>135</v>
      </c>
      <c r="F30" t="s">
        <v>15</v>
      </c>
      <c r="G30" t="s">
        <v>16</v>
      </c>
      <c r="H30" t="s">
        <v>15</v>
      </c>
      <c r="I30" t="s">
        <v>16</v>
      </c>
    </row>
    <row r="31" spans="1:9">
      <c r="A31" t="s">
        <v>137</v>
      </c>
      <c r="B31" t="s">
        <v>186</v>
      </c>
      <c r="D31" t="s">
        <v>226</v>
      </c>
      <c r="E31" t="s">
        <v>136</v>
      </c>
      <c r="F31" t="s">
        <v>15</v>
      </c>
      <c r="G31" t="s">
        <v>16</v>
      </c>
      <c r="H31" t="s">
        <v>15</v>
      </c>
      <c r="I31" t="s">
        <v>16</v>
      </c>
    </row>
    <row r="32" spans="1:9">
      <c r="A32" t="s">
        <v>137</v>
      </c>
      <c r="B32" t="s">
        <v>138</v>
      </c>
      <c r="D32" t="s">
        <v>227</v>
      </c>
      <c r="E32" t="s">
        <v>78</v>
      </c>
      <c r="F32" t="s">
        <v>15</v>
      </c>
      <c r="G32" t="s">
        <v>15</v>
      </c>
      <c r="H32" t="s">
        <v>15</v>
      </c>
      <c r="I32" t="s">
        <v>16</v>
      </c>
    </row>
    <row r="33" spans="1:9">
      <c r="A33" t="s">
        <v>137</v>
      </c>
      <c r="B33" t="s">
        <v>139</v>
      </c>
      <c r="D33" t="s">
        <v>228</v>
      </c>
      <c r="E33" t="s">
        <v>79</v>
      </c>
      <c r="F33" t="s">
        <v>15</v>
      </c>
      <c r="G33" t="s">
        <v>16</v>
      </c>
      <c r="H33" t="s">
        <v>15</v>
      </c>
      <c r="I33" t="s">
        <v>16</v>
      </c>
    </row>
    <row r="34" spans="1:9">
      <c r="A34" t="s">
        <v>137</v>
      </c>
      <c r="B34" t="s">
        <v>509</v>
      </c>
      <c r="D34" t="s">
        <v>421</v>
      </c>
      <c r="E34" t="s">
        <v>430</v>
      </c>
      <c r="F34" t="s">
        <v>15</v>
      </c>
      <c r="G34" t="s">
        <v>16</v>
      </c>
      <c r="H34" t="s">
        <v>15</v>
      </c>
      <c r="I34" t="s">
        <v>16</v>
      </c>
    </row>
    <row r="35" spans="1:9">
      <c r="A35" t="s">
        <v>137</v>
      </c>
      <c r="B35" t="s">
        <v>140</v>
      </c>
      <c r="D35" t="s">
        <v>229</v>
      </c>
      <c r="E35" t="s">
        <v>80</v>
      </c>
      <c r="F35" t="s">
        <v>15</v>
      </c>
      <c r="G35" t="s">
        <v>16</v>
      </c>
      <c r="H35" t="s">
        <v>15</v>
      </c>
      <c r="I35" t="s">
        <v>16</v>
      </c>
    </row>
    <row r="36" spans="1:9">
      <c r="A36" t="s">
        <v>137</v>
      </c>
      <c r="B36" t="s">
        <v>141</v>
      </c>
      <c r="D36" t="s">
        <v>230</v>
      </c>
      <c r="E36" t="s">
        <v>81</v>
      </c>
      <c r="F36" t="s">
        <v>15</v>
      </c>
      <c r="G36" t="s">
        <v>16</v>
      </c>
      <c r="H36" t="s">
        <v>15</v>
      </c>
      <c r="I36" t="s">
        <v>16</v>
      </c>
    </row>
    <row r="37" spans="1:9">
      <c r="A37" t="s">
        <v>137</v>
      </c>
      <c r="B37" t="s">
        <v>142</v>
      </c>
      <c r="D37" t="s">
        <v>231</v>
      </c>
      <c r="E37" t="s">
        <v>82</v>
      </c>
      <c r="F37" t="s">
        <v>15</v>
      </c>
      <c r="G37" t="s">
        <v>16</v>
      </c>
      <c r="H37" t="s">
        <v>15</v>
      </c>
      <c r="I37" t="s">
        <v>16</v>
      </c>
    </row>
    <row r="38" spans="1:9">
      <c r="A38" t="s">
        <v>137</v>
      </c>
      <c r="B38" t="s">
        <v>510</v>
      </c>
      <c r="D38" t="s">
        <v>232</v>
      </c>
      <c r="E38" t="s">
        <v>83</v>
      </c>
      <c r="F38" t="s">
        <v>15</v>
      </c>
      <c r="G38" t="s">
        <v>16</v>
      </c>
      <c r="H38" t="s">
        <v>15</v>
      </c>
      <c r="I38" t="s">
        <v>16</v>
      </c>
    </row>
    <row r="39" spans="1:9">
      <c r="A39" t="s">
        <v>137</v>
      </c>
      <c r="B39" t="s">
        <v>143</v>
      </c>
      <c r="D39" t="s">
        <v>233</v>
      </c>
      <c r="E39" t="s">
        <v>84</v>
      </c>
      <c r="F39" t="s">
        <v>15</v>
      </c>
      <c r="G39" t="s">
        <v>16</v>
      </c>
      <c r="H39" t="s">
        <v>15</v>
      </c>
      <c r="I39" t="s">
        <v>16</v>
      </c>
    </row>
    <row r="40" spans="1:9">
      <c r="A40" t="s">
        <v>137</v>
      </c>
      <c r="B40" t="s">
        <v>144</v>
      </c>
      <c r="D40" t="s">
        <v>234</v>
      </c>
      <c r="E40" t="s">
        <v>85</v>
      </c>
      <c r="F40" t="s">
        <v>15</v>
      </c>
      <c r="G40" t="s">
        <v>15</v>
      </c>
      <c r="H40" t="s">
        <v>15</v>
      </c>
      <c r="I40" t="s">
        <v>16</v>
      </c>
    </row>
    <row r="41" spans="1:9">
      <c r="A41" t="s">
        <v>137</v>
      </c>
      <c r="B41" t="s">
        <v>145</v>
      </c>
      <c r="D41" t="s">
        <v>235</v>
      </c>
      <c r="E41" t="s">
        <v>86</v>
      </c>
      <c r="F41" t="s">
        <v>15</v>
      </c>
      <c r="G41" t="s">
        <v>16</v>
      </c>
      <c r="H41" t="s">
        <v>15</v>
      </c>
      <c r="I41" t="s">
        <v>16</v>
      </c>
    </row>
    <row r="42" spans="1:9">
      <c r="A42" t="s">
        <v>137</v>
      </c>
      <c r="B42" t="s">
        <v>511</v>
      </c>
      <c r="D42" t="s">
        <v>422</v>
      </c>
      <c r="E42" t="s">
        <v>431</v>
      </c>
      <c r="F42" t="s">
        <v>15</v>
      </c>
      <c r="G42" t="s">
        <v>16</v>
      </c>
      <c r="H42" t="s">
        <v>15</v>
      </c>
      <c r="I42" t="s">
        <v>16</v>
      </c>
    </row>
    <row r="43" spans="1:9">
      <c r="A43" t="s">
        <v>137</v>
      </c>
      <c r="B43" t="s">
        <v>146</v>
      </c>
      <c r="D43" t="s">
        <v>236</v>
      </c>
      <c r="E43" t="s">
        <v>87</v>
      </c>
      <c r="F43" t="s">
        <v>15</v>
      </c>
      <c r="G43" t="s">
        <v>16</v>
      </c>
      <c r="H43" t="s">
        <v>15</v>
      </c>
      <c r="I43" t="s">
        <v>16</v>
      </c>
    </row>
    <row r="44" spans="1:9">
      <c r="A44" t="s">
        <v>137</v>
      </c>
      <c r="B44" t="s">
        <v>147</v>
      </c>
      <c r="D44" t="s">
        <v>237</v>
      </c>
      <c r="E44" t="s">
        <v>88</v>
      </c>
      <c r="F44" t="s">
        <v>15</v>
      </c>
      <c r="G44" t="s">
        <v>16</v>
      </c>
      <c r="H44" t="s">
        <v>15</v>
      </c>
      <c r="I44" t="s">
        <v>16</v>
      </c>
    </row>
    <row r="45" spans="1:9">
      <c r="A45" t="s">
        <v>137</v>
      </c>
      <c r="B45" t="s">
        <v>148</v>
      </c>
      <c r="D45" t="s">
        <v>238</v>
      </c>
      <c r="E45" t="s">
        <v>89</v>
      </c>
      <c r="F45" t="s">
        <v>15</v>
      </c>
      <c r="G45" t="s">
        <v>16</v>
      </c>
      <c r="H45" t="s">
        <v>15</v>
      </c>
      <c r="I45" t="s">
        <v>16</v>
      </c>
    </row>
    <row r="46" spans="1:9">
      <c r="A46" t="s">
        <v>137</v>
      </c>
      <c r="B46" t="s">
        <v>512</v>
      </c>
      <c r="D46" t="s">
        <v>239</v>
      </c>
      <c r="E46" t="s">
        <v>90</v>
      </c>
      <c r="F46" t="s">
        <v>15</v>
      </c>
      <c r="G46" t="s">
        <v>16</v>
      </c>
      <c r="H46" t="s">
        <v>15</v>
      </c>
      <c r="I46" t="s">
        <v>16</v>
      </c>
    </row>
    <row r="47" spans="1:9">
      <c r="A47" t="s">
        <v>137</v>
      </c>
      <c r="B47" t="s">
        <v>149</v>
      </c>
      <c r="D47" t="s">
        <v>240</v>
      </c>
      <c r="E47" t="s">
        <v>91</v>
      </c>
      <c r="F47" t="s">
        <v>15</v>
      </c>
      <c r="G47" t="s">
        <v>16</v>
      </c>
      <c r="H47" t="s">
        <v>15</v>
      </c>
      <c r="I47" t="s">
        <v>16</v>
      </c>
    </row>
    <row r="48" spans="1:9">
      <c r="A48" t="s">
        <v>137</v>
      </c>
      <c r="B48" t="s">
        <v>150</v>
      </c>
      <c r="D48" t="s">
        <v>241</v>
      </c>
      <c r="E48" t="s">
        <v>92</v>
      </c>
      <c r="F48" t="s">
        <v>15</v>
      </c>
      <c r="G48" t="s">
        <v>15</v>
      </c>
      <c r="H48" t="s">
        <v>15</v>
      </c>
      <c r="I48" t="s">
        <v>16</v>
      </c>
    </row>
    <row r="49" spans="1:9">
      <c r="A49" t="s">
        <v>137</v>
      </c>
      <c r="B49" t="s">
        <v>151</v>
      </c>
      <c r="D49" t="s">
        <v>242</v>
      </c>
      <c r="E49" t="s">
        <v>93</v>
      </c>
      <c r="F49" t="s">
        <v>15</v>
      </c>
      <c r="G49" t="s">
        <v>16</v>
      </c>
      <c r="H49" t="s">
        <v>15</v>
      </c>
      <c r="I49" t="s">
        <v>16</v>
      </c>
    </row>
    <row r="50" spans="1:9">
      <c r="A50" t="s">
        <v>137</v>
      </c>
      <c r="B50" t="s">
        <v>513</v>
      </c>
      <c r="D50" t="s">
        <v>423</v>
      </c>
      <c r="E50" t="s">
        <v>432</v>
      </c>
      <c r="F50" t="s">
        <v>15</v>
      </c>
      <c r="G50" t="s">
        <v>16</v>
      </c>
      <c r="H50" t="s">
        <v>15</v>
      </c>
      <c r="I50" t="s">
        <v>16</v>
      </c>
    </row>
    <row r="51" spans="1:9">
      <c r="A51" t="s">
        <v>137</v>
      </c>
      <c r="B51" t="s">
        <v>152</v>
      </c>
      <c r="D51" t="s">
        <v>243</v>
      </c>
      <c r="E51" t="s">
        <v>94</v>
      </c>
      <c r="F51" t="s">
        <v>15</v>
      </c>
      <c r="G51" t="s">
        <v>16</v>
      </c>
      <c r="H51" t="s">
        <v>15</v>
      </c>
      <c r="I51" t="s">
        <v>16</v>
      </c>
    </row>
    <row r="52" spans="1:9">
      <c r="A52" t="s">
        <v>137</v>
      </c>
      <c r="B52" t="s">
        <v>153</v>
      </c>
      <c r="D52" t="s">
        <v>244</v>
      </c>
      <c r="E52" t="s">
        <v>95</v>
      </c>
      <c r="F52" t="s">
        <v>15</v>
      </c>
      <c r="G52" t="s">
        <v>16</v>
      </c>
      <c r="H52" t="s">
        <v>15</v>
      </c>
      <c r="I52" t="s">
        <v>16</v>
      </c>
    </row>
    <row r="53" spans="1:9">
      <c r="A53" t="s">
        <v>137</v>
      </c>
      <c r="B53" t="s">
        <v>154</v>
      </c>
      <c r="D53" t="s">
        <v>245</v>
      </c>
      <c r="E53" t="s">
        <v>96</v>
      </c>
      <c r="F53" t="s">
        <v>15</v>
      </c>
      <c r="G53" t="s">
        <v>16</v>
      </c>
      <c r="H53" t="s">
        <v>15</v>
      </c>
      <c r="I53" t="s">
        <v>16</v>
      </c>
    </row>
    <row r="54" spans="1:9">
      <c r="A54" t="s">
        <v>137</v>
      </c>
      <c r="B54" t="s">
        <v>514</v>
      </c>
      <c r="D54" t="s">
        <v>246</v>
      </c>
      <c r="E54" t="s">
        <v>97</v>
      </c>
      <c r="F54" t="s">
        <v>15</v>
      </c>
      <c r="G54" t="s">
        <v>16</v>
      </c>
      <c r="H54" t="s">
        <v>15</v>
      </c>
      <c r="I54" t="s">
        <v>16</v>
      </c>
    </row>
    <row r="55" spans="1:9">
      <c r="A55" t="s">
        <v>137</v>
      </c>
      <c r="B55" t="s">
        <v>155</v>
      </c>
      <c r="D55" t="s">
        <v>247</v>
      </c>
      <c r="E55" t="s">
        <v>98</v>
      </c>
      <c r="F55" t="s">
        <v>15</v>
      </c>
      <c r="G55" t="s">
        <v>16</v>
      </c>
      <c r="H55" t="s">
        <v>15</v>
      </c>
      <c r="I55" t="s">
        <v>16</v>
      </c>
    </row>
    <row r="56" spans="1:9">
      <c r="A56" t="s">
        <v>137</v>
      </c>
      <c r="B56" t="s">
        <v>156</v>
      </c>
      <c r="D56" t="s">
        <v>248</v>
      </c>
      <c r="E56" t="s">
        <v>99</v>
      </c>
      <c r="F56" t="s">
        <v>15</v>
      </c>
      <c r="G56" t="s">
        <v>15</v>
      </c>
      <c r="H56" t="s">
        <v>15</v>
      </c>
      <c r="I56" t="s">
        <v>16</v>
      </c>
    </row>
    <row r="57" spans="1:9">
      <c r="A57" t="s">
        <v>137</v>
      </c>
      <c r="B57" t="s">
        <v>157</v>
      </c>
      <c r="D57" t="s">
        <v>249</v>
      </c>
      <c r="E57" t="s">
        <v>100</v>
      </c>
      <c r="F57" t="s">
        <v>15</v>
      </c>
      <c r="G57" t="s">
        <v>16</v>
      </c>
      <c r="H57" t="s">
        <v>15</v>
      </c>
      <c r="I57" t="s">
        <v>16</v>
      </c>
    </row>
    <row r="58" spans="1:9">
      <c r="A58" t="s">
        <v>137</v>
      </c>
      <c r="B58" t="s">
        <v>515</v>
      </c>
      <c r="D58" t="s">
        <v>424</v>
      </c>
      <c r="E58" t="s">
        <v>433</v>
      </c>
      <c r="F58" t="s">
        <v>15</v>
      </c>
      <c r="G58" t="s">
        <v>16</v>
      </c>
      <c r="H58" t="s">
        <v>15</v>
      </c>
      <c r="I58" t="s">
        <v>16</v>
      </c>
    </row>
    <row r="59" spans="1:9">
      <c r="A59" t="s">
        <v>137</v>
      </c>
      <c r="B59" t="s">
        <v>158</v>
      </c>
      <c r="D59" t="s">
        <v>250</v>
      </c>
      <c r="E59" t="s">
        <v>101</v>
      </c>
      <c r="F59" t="s">
        <v>15</v>
      </c>
      <c r="G59" t="s">
        <v>16</v>
      </c>
      <c r="H59" t="s">
        <v>15</v>
      </c>
      <c r="I59" t="s">
        <v>16</v>
      </c>
    </row>
    <row r="60" spans="1:9">
      <c r="A60" t="s">
        <v>137</v>
      </c>
      <c r="B60" t="s">
        <v>159</v>
      </c>
      <c r="D60" t="s">
        <v>251</v>
      </c>
      <c r="E60" t="s">
        <v>102</v>
      </c>
      <c r="F60" t="s">
        <v>15</v>
      </c>
      <c r="G60" t="s">
        <v>16</v>
      </c>
      <c r="H60" t="s">
        <v>15</v>
      </c>
      <c r="I60" t="s">
        <v>16</v>
      </c>
    </row>
    <row r="61" spans="1:9">
      <c r="A61" t="s">
        <v>137</v>
      </c>
      <c r="B61" t="s">
        <v>160</v>
      </c>
      <c r="D61" t="s">
        <v>252</v>
      </c>
      <c r="E61" t="s">
        <v>103</v>
      </c>
      <c r="F61" t="s">
        <v>15</v>
      </c>
      <c r="G61" t="s">
        <v>16</v>
      </c>
      <c r="H61" t="s">
        <v>15</v>
      </c>
      <c r="I61" t="s">
        <v>16</v>
      </c>
    </row>
    <row r="62" spans="1:9">
      <c r="A62" t="s">
        <v>137</v>
      </c>
      <c r="B62" t="s">
        <v>516</v>
      </c>
      <c r="D62" t="s">
        <v>253</v>
      </c>
      <c r="E62" t="s">
        <v>104</v>
      </c>
      <c r="F62" t="s">
        <v>15</v>
      </c>
      <c r="G62" t="s">
        <v>16</v>
      </c>
      <c r="H62" t="s">
        <v>15</v>
      </c>
      <c r="I62" t="s">
        <v>16</v>
      </c>
    </row>
    <row r="63" spans="1:9">
      <c r="A63" t="s">
        <v>137</v>
      </c>
      <c r="B63" t="s">
        <v>161</v>
      </c>
      <c r="D63" t="s">
        <v>254</v>
      </c>
      <c r="E63" t="s">
        <v>105</v>
      </c>
      <c r="F63" t="s">
        <v>15</v>
      </c>
      <c r="G63" t="s">
        <v>16</v>
      </c>
      <c r="H63" t="s">
        <v>15</v>
      </c>
      <c r="I63" t="s">
        <v>16</v>
      </c>
    </row>
    <row r="64" spans="1:9">
      <c r="A64" t="s">
        <v>137</v>
      </c>
      <c r="B64" t="s">
        <v>162</v>
      </c>
      <c r="D64" t="s">
        <v>255</v>
      </c>
      <c r="E64" t="s">
        <v>106</v>
      </c>
      <c r="F64" t="s">
        <v>15</v>
      </c>
      <c r="G64" t="s">
        <v>15</v>
      </c>
      <c r="H64" t="s">
        <v>15</v>
      </c>
      <c r="I64" t="s">
        <v>16</v>
      </c>
    </row>
    <row r="65" spans="1:9">
      <c r="A65" t="s">
        <v>163</v>
      </c>
      <c r="B65" t="s">
        <v>164</v>
      </c>
      <c r="D65" t="s">
        <v>256</v>
      </c>
      <c r="E65" t="s">
        <v>107</v>
      </c>
      <c r="F65" t="s">
        <v>15</v>
      </c>
      <c r="G65" t="s">
        <v>16</v>
      </c>
      <c r="H65" t="s">
        <v>15</v>
      </c>
      <c r="I65" t="s">
        <v>16</v>
      </c>
    </row>
    <row r="66" spans="1:9">
      <c r="A66" t="s">
        <v>163</v>
      </c>
      <c r="B66" t="s">
        <v>296</v>
      </c>
      <c r="D66" t="s">
        <v>290</v>
      </c>
      <c r="E66" t="s">
        <v>291</v>
      </c>
      <c r="F66" t="s">
        <v>15</v>
      </c>
      <c r="G66" t="s">
        <v>16</v>
      </c>
      <c r="H66" t="s">
        <v>15</v>
      </c>
      <c r="I66" t="s">
        <v>16</v>
      </c>
    </row>
    <row r="67" spans="1:9">
      <c r="A67" t="s">
        <v>163</v>
      </c>
      <c r="B67" t="s">
        <v>517</v>
      </c>
      <c r="D67" t="s">
        <v>425</v>
      </c>
      <c r="E67" t="s">
        <v>434</v>
      </c>
      <c r="F67" t="s">
        <v>15</v>
      </c>
      <c r="G67" t="s">
        <v>16</v>
      </c>
      <c r="H67" t="s">
        <v>15</v>
      </c>
      <c r="I67" t="s">
        <v>16</v>
      </c>
    </row>
    <row r="68" spans="1:9">
      <c r="A68" t="s">
        <v>163</v>
      </c>
      <c r="B68" t="s">
        <v>188</v>
      </c>
      <c r="D68" t="s">
        <v>292</v>
      </c>
      <c r="E68" t="s">
        <v>293</v>
      </c>
      <c r="F68" t="s">
        <v>15</v>
      </c>
      <c r="G68" t="s">
        <v>16</v>
      </c>
      <c r="H68" t="s">
        <v>15</v>
      </c>
      <c r="I68" t="s">
        <v>16</v>
      </c>
    </row>
    <row r="69" spans="1:9">
      <c r="A69" t="s">
        <v>163</v>
      </c>
      <c r="B69" t="s">
        <v>187</v>
      </c>
      <c r="D69" t="s">
        <v>294</v>
      </c>
      <c r="E69" t="s">
        <v>295</v>
      </c>
      <c r="F69" t="s">
        <v>15</v>
      </c>
      <c r="G69" t="s">
        <v>16</v>
      </c>
      <c r="H69" t="s">
        <v>15</v>
      </c>
      <c r="I69" t="s">
        <v>16</v>
      </c>
    </row>
    <row r="70" spans="1:9">
      <c r="A70" t="s">
        <v>163</v>
      </c>
      <c r="B70" t="s">
        <v>330</v>
      </c>
      <c r="D70" t="s">
        <v>332</v>
      </c>
      <c r="E70" t="s">
        <v>331</v>
      </c>
      <c r="F70" t="s">
        <v>15</v>
      </c>
      <c r="G70" t="s">
        <v>16</v>
      </c>
      <c r="H70" t="s">
        <v>15</v>
      </c>
      <c r="I70" t="s">
        <v>16</v>
      </c>
    </row>
    <row r="71" spans="1:9">
      <c r="A71" t="s">
        <v>163</v>
      </c>
      <c r="B71" t="s">
        <v>486</v>
      </c>
      <c r="D71" t="s">
        <v>474</v>
      </c>
      <c r="E71" t="s">
        <v>475</v>
      </c>
      <c r="F71" t="s">
        <v>15</v>
      </c>
      <c r="G71" t="s">
        <v>16</v>
      </c>
      <c r="H71" t="s">
        <v>15</v>
      </c>
      <c r="I71" t="s">
        <v>16</v>
      </c>
    </row>
    <row r="72" spans="1:9">
      <c r="A72" t="s">
        <v>163</v>
      </c>
      <c r="B72" t="s">
        <v>487</v>
      </c>
      <c r="D72" t="s">
        <v>476</v>
      </c>
      <c r="E72" t="s">
        <v>479</v>
      </c>
      <c r="F72" t="s">
        <v>15</v>
      </c>
      <c r="G72" t="s">
        <v>16</v>
      </c>
      <c r="H72" t="s">
        <v>15</v>
      </c>
      <c r="I72" t="s">
        <v>16</v>
      </c>
    </row>
    <row r="73" spans="1:9">
      <c r="A73" t="s">
        <v>163</v>
      </c>
      <c r="B73" t="s">
        <v>488</v>
      </c>
      <c r="D73" t="s">
        <v>477</v>
      </c>
      <c r="E73" t="s">
        <v>478</v>
      </c>
      <c r="F73" t="s">
        <v>15</v>
      </c>
      <c r="G73" t="s">
        <v>16</v>
      </c>
      <c r="H73" t="s">
        <v>15</v>
      </c>
      <c r="I73" t="s">
        <v>16</v>
      </c>
    </row>
    <row r="74" spans="1:9">
      <c r="A74" t="s">
        <v>163</v>
      </c>
      <c r="B74" t="s">
        <v>494</v>
      </c>
      <c r="D74" t="s">
        <v>480</v>
      </c>
      <c r="E74" t="s">
        <v>481</v>
      </c>
      <c r="F74" t="s">
        <v>15</v>
      </c>
      <c r="G74" t="s">
        <v>16</v>
      </c>
      <c r="H74" t="s">
        <v>15</v>
      </c>
      <c r="I74" t="s">
        <v>16</v>
      </c>
    </row>
    <row r="75" spans="1:9">
      <c r="A75" t="s">
        <v>163</v>
      </c>
      <c r="B75" t="s">
        <v>500</v>
      </c>
      <c r="D75" t="s">
        <v>497</v>
      </c>
      <c r="E75" t="s">
        <v>496</v>
      </c>
      <c r="F75" t="s">
        <v>15</v>
      </c>
      <c r="G75" t="s">
        <v>16</v>
      </c>
      <c r="H75" t="s">
        <v>15</v>
      </c>
      <c r="I75" t="s">
        <v>16</v>
      </c>
    </row>
    <row r="76" spans="1:9">
      <c r="A76" t="s">
        <v>163</v>
      </c>
      <c r="B76" t="s">
        <v>495</v>
      </c>
      <c r="D76" t="s">
        <v>498</v>
      </c>
      <c r="E76" t="s">
        <v>499</v>
      </c>
      <c r="F76" t="s">
        <v>15</v>
      </c>
      <c r="G76" t="s">
        <v>16</v>
      </c>
      <c r="H76" t="s">
        <v>15</v>
      </c>
      <c r="I76" t="s">
        <v>16</v>
      </c>
    </row>
    <row r="77" spans="1:9">
      <c r="A77" t="s">
        <v>163</v>
      </c>
      <c r="B77" t="s">
        <v>489</v>
      </c>
      <c r="D77" t="s">
        <v>482</v>
      </c>
      <c r="E77" t="s">
        <v>484</v>
      </c>
      <c r="F77" t="s">
        <v>15</v>
      </c>
      <c r="G77" t="s">
        <v>16</v>
      </c>
      <c r="H77" t="s">
        <v>15</v>
      </c>
      <c r="I77" t="s">
        <v>16</v>
      </c>
    </row>
    <row r="78" spans="1:9">
      <c r="A78" t="s">
        <v>163</v>
      </c>
      <c r="B78" t="s">
        <v>490</v>
      </c>
      <c r="D78" t="s">
        <v>483</v>
      </c>
      <c r="E78" t="s">
        <v>485</v>
      </c>
      <c r="F78" t="s">
        <v>15</v>
      </c>
      <c r="G78" t="s">
        <v>16</v>
      </c>
      <c r="H78" t="s">
        <v>15</v>
      </c>
      <c r="I78" t="s">
        <v>16</v>
      </c>
    </row>
    <row r="79" spans="1:9">
      <c r="A79" t="s">
        <v>163</v>
      </c>
      <c r="B79" t="s">
        <v>491</v>
      </c>
      <c r="D79" t="s">
        <v>492</v>
      </c>
      <c r="E79" t="s">
        <v>493</v>
      </c>
      <c r="F79" t="s">
        <v>15</v>
      </c>
      <c r="G79" t="s">
        <v>16</v>
      </c>
      <c r="H79" t="s">
        <v>15</v>
      </c>
      <c r="I79" t="s">
        <v>16</v>
      </c>
    </row>
    <row r="80" spans="1:9">
      <c r="A80" t="s">
        <v>163</v>
      </c>
      <c r="B80" t="s">
        <v>627</v>
      </c>
      <c r="D80" t="s">
        <v>630</v>
      </c>
      <c r="E80" t="s">
        <v>633</v>
      </c>
      <c r="F80" t="s">
        <v>15</v>
      </c>
      <c r="G80" t="s">
        <v>16</v>
      </c>
      <c r="H80" t="s">
        <v>15</v>
      </c>
      <c r="I80" t="s">
        <v>16</v>
      </c>
    </row>
    <row r="81" spans="1:9">
      <c r="A81" t="s">
        <v>163</v>
      </c>
      <c r="B81" t="s">
        <v>628</v>
      </c>
      <c r="D81" t="s">
        <v>631</v>
      </c>
      <c r="E81" t="s">
        <v>634</v>
      </c>
      <c r="F81" t="s">
        <v>15</v>
      </c>
      <c r="G81" t="s">
        <v>16</v>
      </c>
      <c r="H81" t="s">
        <v>15</v>
      </c>
      <c r="I81" t="s">
        <v>16</v>
      </c>
    </row>
    <row r="82" spans="1:9">
      <c r="A82" t="s">
        <v>163</v>
      </c>
      <c r="B82" t="s">
        <v>629</v>
      </c>
      <c r="D82" t="s">
        <v>632</v>
      </c>
      <c r="E82" t="s">
        <v>635</v>
      </c>
      <c r="F82" t="s">
        <v>15</v>
      </c>
      <c r="G82" t="s">
        <v>16</v>
      </c>
      <c r="H82" t="s">
        <v>15</v>
      </c>
      <c r="I82" t="s">
        <v>16</v>
      </c>
    </row>
    <row r="83" spans="1:9">
      <c r="A83" t="s">
        <v>163</v>
      </c>
      <c r="B83" t="s">
        <v>636</v>
      </c>
      <c r="D83" t="s">
        <v>637</v>
      </c>
      <c r="E83" t="s">
        <v>638</v>
      </c>
      <c r="F83" t="s">
        <v>15</v>
      </c>
      <c r="G83" t="s">
        <v>16</v>
      </c>
      <c r="H83" t="s">
        <v>15</v>
      </c>
      <c r="I83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40ADC-D5CC-4772-80B1-A116F59E0A06}">
  <sheetPr codeName="Sheet2">
    <tabColor rgb="FF92D050"/>
  </sheetPr>
  <dimension ref="A1:L20"/>
  <sheetViews>
    <sheetView workbookViewId="0">
      <selection activeCell="B19" sqref="B19"/>
    </sheetView>
  </sheetViews>
  <sheetFormatPr defaultRowHeight="14.25"/>
  <cols>
    <col min="6" max="6" width="19.3984375" bestFit="1" customWidth="1"/>
    <col min="7" max="7" width="40.3984375" bestFit="1" customWidth="1"/>
  </cols>
  <sheetData>
    <row r="1" spans="1:12">
      <c r="A1" t="s">
        <v>0</v>
      </c>
    </row>
    <row r="2" spans="1:1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>
      <c r="A3" t="s">
        <v>191</v>
      </c>
      <c r="B3" t="s">
        <v>289</v>
      </c>
      <c r="F3" t="s">
        <v>287</v>
      </c>
      <c r="G3" t="s">
        <v>288</v>
      </c>
      <c r="H3" t="s">
        <v>15</v>
      </c>
      <c r="I3" t="s">
        <v>16</v>
      </c>
      <c r="J3" t="s">
        <v>15</v>
      </c>
      <c r="K3" t="s">
        <v>16</v>
      </c>
    </row>
    <row r="4" spans="1:12">
      <c r="A4" t="s">
        <v>191</v>
      </c>
      <c r="B4" t="s">
        <v>340</v>
      </c>
      <c r="F4" t="s">
        <v>333</v>
      </c>
      <c r="G4" t="s">
        <v>334</v>
      </c>
      <c r="H4" t="s">
        <v>15</v>
      </c>
      <c r="I4" t="s">
        <v>16</v>
      </c>
      <c r="J4" t="s">
        <v>15</v>
      </c>
      <c r="K4" t="s">
        <v>16</v>
      </c>
    </row>
    <row r="5" spans="1:12">
      <c r="A5" t="s">
        <v>191</v>
      </c>
      <c r="B5" t="s">
        <v>335</v>
      </c>
      <c r="F5" t="s">
        <v>336</v>
      </c>
      <c r="G5" t="s">
        <v>338</v>
      </c>
      <c r="H5" t="s">
        <v>15</v>
      </c>
      <c r="I5" t="s">
        <v>16</v>
      </c>
      <c r="J5" t="s">
        <v>15</v>
      </c>
      <c r="K5" t="s">
        <v>16</v>
      </c>
    </row>
    <row r="6" spans="1:12">
      <c r="A6" t="s">
        <v>191</v>
      </c>
      <c r="B6" t="s">
        <v>341</v>
      </c>
      <c r="F6" t="s">
        <v>337</v>
      </c>
      <c r="G6" t="s">
        <v>339</v>
      </c>
      <c r="H6" t="s">
        <v>15</v>
      </c>
      <c r="I6" t="s">
        <v>16</v>
      </c>
      <c r="J6" t="s">
        <v>15</v>
      </c>
      <c r="K6" t="s">
        <v>16</v>
      </c>
    </row>
    <row r="7" spans="1:12">
      <c r="B7" t="s">
        <v>306</v>
      </c>
      <c r="F7" t="s">
        <v>257</v>
      </c>
      <c r="G7" t="s">
        <v>39</v>
      </c>
      <c r="H7" t="s">
        <v>15</v>
      </c>
      <c r="I7" t="s">
        <v>16</v>
      </c>
      <c r="J7" t="s">
        <v>15</v>
      </c>
      <c r="K7" t="s">
        <v>16</v>
      </c>
    </row>
    <row r="8" spans="1:12">
      <c r="B8" t="s">
        <v>501</v>
      </c>
      <c r="F8" t="s">
        <v>415</v>
      </c>
      <c r="G8" t="s">
        <v>416</v>
      </c>
      <c r="H8" t="s">
        <v>15</v>
      </c>
      <c r="I8" t="s">
        <v>16</v>
      </c>
      <c r="J8" t="s">
        <v>15</v>
      </c>
      <c r="K8" t="s">
        <v>16</v>
      </c>
    </row>
    <row r="9" spans="1:12">
      <c r="B9" t="s">
        <v>205</v>
      </c>
      <c r="F9" t="s">
        <v>258</v>
      </c>
      <c r="G9" t="s">
        <v>40</v>
      </c>
      <c r="H9" t="s">
        <v>15</v>
      </c>
      <c r="I9" t="s">
        <v>16</v>
      </c>
      <c r="J9" t="s">
        <v>15</v>
      </c>
      <c r="K9" t="s">
        <v>16</v>
      </c>
    </row>
    <row r="10" spans="1:12">
      <c r="B10" t="s">
        <v>58</v>
      </c>
      <c r="F10" t="s">
        <v>259</v>
      </c>
      <c r="G10" t="s">
        <v>41</v>
      </c>
      <c r="H10" t="s">
        <v>15</v>
      </c>
      <c r="I10" t="s">
        <v>16</v>
      </c>
      <c r="J10" t="s">
        <v>15</v>
      </c>
      <c r="K10" t="s">
        <v>16</v>
      </c>
    </row>
    <row r="11" spans="1:12">
      <c r="B11" t="s">
        <v>59</v>
      </c>
      <c r="F11" t="s">
        <v>260</v>
      </c>
      <c r="G11" t="s">
        <v>42</v>
      </c>
      <c r="H11" t="s">
        <v>15</v>
      </c>
      <c r="I11" t="s">
        <v>16</v>
      </c>
      <c r="J11" t="s">
        <v>15</v>
      </c>
      <c r="K11" t="s">
        <v>16</v>
      </c>
    </row>
    <row r="12" spans="1:12">
      <c r="B12" t="s">
        <v>60</v>
      </c>
      <c r="F12" t="s">
        <v>261</v>
      </c>
      <c r="G12" t="s">
        <v>43</v>
      </c>
      <c r="H12" t="s">
        <v>15</v>
      </c>
      <c r="I12" t="s">
        <v>16</v>
      </c>
      <c r="J12" t="s">
        <v>15</v>
      </c>
      <c r="K12" t="s">
        <v>16</v>
      </c>
    </row>
    <row r="13" spans="1:12">
      <c r="B13" t="s">
        <v>61</v>
      </c>
      <c r="F13" t="s">
        <v>262</v>
      </c>
      <c r="G13" t="s">
        <v>44</v>
      </c>
      <c r="H13" t="s">
        <v>15</v>
      </c>
      <c r="I13" t="s">
        <v>16</v>
      </c>
      <c r="J13" t="s">
        <v>15</v>
      </c>
      <c r="K13" t="s">
        <v>16</v>
      </c>
    </row>
    <row r="14" spans="1:12">
      <c r="B14" t="s">
        <v>588</v>
      </c>
      <c r="F14" t="s">
        <v>570</v>
      </c>
      <c r="G14" t="s">
        <v>577</v>
      </c>
      <c r="H14" t="s">
        <v>15</v>
      </c>
      <c r="I14" t="s">
        <v>16</v>
      </c>
      <c r="J14" t="s">
        <v>15</v>
      </c>
      <c r="K14" t="s">
        <v>16</v>
      </c>
    </row>
    <row r="15" spans="1:12">
      <c r="B15" t="s">
        <v>586</v>
      </c>
      <c r="F15" t="s">
        <v>571</v>
      </c>
      <c r="G15" t="s">
        <v>578</v>
      </c>
      <c r="H15" t="s">
        <v>15</v>
      </c>
      <c r="I15" t="s">
        <v>16</v>
      </c>
      <c r="J15" t="s">
        <v>15</v>
      </c>
      <c r="K15" t="s">
        <v>16</v>
      </c>
    </row>
    <row r="16" spans="1:12">
      <c r="A16" s="3" t="s">
        <v>286</v>
      </c>
      <c r="B16" t="s">
        <v>639</v>
      </c>
      <c r="F16" t="s">
        <v>572</v>
      </c>
      <c r="G16" t="s">
        <v>579</v>
      </c>
      <c r="H16" t="s">
        <v>15</v>
      </c>
      <c r="I16" t="s">
        <v>16</v>
      </c>
      <c r="J16" t="s">
        <v>15</v>
      </c>
      <c r="K16" t="s">
        <v>16</v>
      </c>
    </row>
    <row r="17" spans="1:11">
      <c r="B17" t="s">
        <v>585</v>
      </c>
      <c r="F17" t="s">
        <v>573</v>
      </c>
      <c r="G17" t="s">
        <v>580</v>
      </c>
      <c r="H17" t="s">
        <v>15</v>
      </c>
      <c r="I17" t="s">
        <v>16</v>
      </c>
      <c r="J17" t="s">
        <v>15</v>
      </c>
      <c r="K17" t="s">
        <v>16</v>
      </c>
    </row>
    <row r="18" spans="1:11">
      <c r="B18" t="s">
        <v>584</v>
      </c>
      <c r="F18" t="s">
        <v>574</v>
      </c>
      <c r="G18" t="s">
        <v>581</v>
      </c>
      <c r="H18" t="s">
        <v>15</v>
      </c>
      <c r="I18" t="s">
        <v>16</v>
      </c>
      <c r="J18" t="s">
        <v>15</v>
      </c>
      <c r="K18" t="s">
        <v>16</v>
      </c>
    </row>
    <row r="19" spans="1:11">
      <c r="B19" t="s">
        <v>640</v>
      </c>
      <c r="F19" t="s">
        <v>575</v>
      </c>
      <c r="G19" t="s">
        <v>582</v>
      </c>
      <c r="H19" t="s">
        <v>15</v>
      </c>
      <c r="I19" t="s">
        <v>16</v>
      </c>
      <c r="J19" t="s">
        <v>15</v>
      </c>
      <c r="K19" t="s">
        <v>16</v>
      </c>
    </row>
    <row r="20" spans="1:11">
      <c r="A20" s="3" t="s">
        <v>286</v>
      </c>
      <c r="B20" t="s">
        <v>587</v>
      </c>
      <c r="F20" t="s">
        <v>576</v>
      </c>
      <c r="G20" t="s">
        <v>583</v>
      </c>
      <c r="H20" t="s">
        <v>15</v>
      </c>
      <c r="I20" t="s">
        <v>16</v>
      </c>
      <c r="J20" t="s">
        <v>15</v>
      </c>
      <c r="K20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31217-6A54-4B12-AA31-B59CB94B1CCE}">
  <sheetPr codeName="Sheet3">
    <tabColor rgb="FF92D050"/>
  </sheetPr>
  <dimension ref="A1:P29"/>
  <sheetViews>
    <sheetView tabSelected="1" workbookViewId="0">
      <selection activeCell="F3" sqref="F3:G29"/>
    </sheetView>
  </sheetViews>
  <sheetFormatPr defaultRowHeight="14.25"/>
  <cols>
    <col min="6" max="6" width="19.3984375" bestFit="1" customWidth="1"/>
    <col min="7" max="7" width="40.3984375" bestFit="1" customWidth="1"/>
  </cols>
  <sheetData>
    <row r="1" spans="1:16">
      <c r="A1" t="s">
        <v>0</v>
      </c>
    </row>
    <row r="2" spans="1:1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6">
      <c r="A3" t="s">
        <v>45</v>
      </c>
      <c r="B3" t="str">
        <f>+LEFT(O3,1)&amp;"-DMD-"&amp;RIGHT(O3,3)&amp;"*"</f>
        <v>I-DMD-CEM*</v>
      </c>
      <c r="F3" t="str">
        <f>"DMD_IND-"&amp;RIGHT(O3,3)</f>
        <v>DMD_IND-CEM</v>
      </c>
      <c r="G3" t="str">
        <f>"Industry - "&amp;P3</f>
        <v>Industry - Cement</v>
      </c>
      <c r="H3" t="s">
        <v>15</v>
      </c>
      <c r="I3" t="s">
        <v>16</v>
      </c>
      <c r="J3" t="s">
        <v>15</v>
      </c>
      <c r="K3" t="s">
        <v>16</v>
      </c>
      <c r="O3" t="s">
        <v>607</v>
      </c>
      <c r="P3" t="s">
        <v>608</v>
      </c>
    </row>
    <row r="4" spans="1:16">
      <c r="A4" t="s">
        <v>45</v>
      </c>
      <c r="B4" t="str">
        <f t="shared" ref="B4:B12" si="0">+LEFT(O4,1)&amp;"-DMD-"&amp;RIGHT(O4,3)&amp;"*"</f>
        <v>I-DMD-CAF*</v>
      </c>
      <c r="F4" t="str">
        <f t="shared" ref="F4:F12" si="1">"DMD_IND-"&amp;RIGHT(O4,3)</f>
        <v>DMD_IND-CAF</v>
      </c>
      <c r="G4" t="str">
        <f t="shared" ref="G4:G12" si="2">"Industry - "&amp;P4</f>
        <v>Industry - Chemicals</v>
      </c>
      <c r="H4" t="s">
        <v>15</v>
      </c>
      <c r="I4" t="s">
        <v>16</v>
      </c>
      <c r="J4" t="s">
        <v>15</v>
      </c>
      <c r="K4" t="s">
        <v>16</v>
      </c>
      <c r="O4" t="s">
        <v>609</v>
      </c>
      <c r="P4" t="s">
        <v>610</v>
      </c>
    </row>
    <row r="5" spans="1:16">
      <c r="A5" t="s">
        <v>45</v>
      </c>
      <c r="B5" t="str">
        <f t="shared" si="0"/>
        <v>I-DMD-FAP*</v>
      </c>
      <c r="F5" t="str">
        <f t="shared" si="1"/>
        <v>DMD_IND-FAP</v>
      </c>
      <c r="G5" t="str">
        <f t="shared" si="2"/>
        <v>Industry - Food and Drink</v>
      </c>
      <c r="H5" t="s">
        <v>15</v>
      </c>
      <c r="I5" t="s">
        <v>16</v>
      </c>
      <c r="J5" t="s">
        <v>15</v>
      </c>
      <c r="K5" t="s">
        <v>16</v>
      </c>
      <c r="O5" t="s">
        <v>611</v>
      </c>
      <c r="P5" t="s">
        <v>612</v>
      </c>
    </row>
    <row r="6" spans="1:16">
      <c r="A6" t="s">
        <v>45</v>
      </c>
      <c r="B6" t="str">
        <f t="shared" si="0"/>
        <v>I-DMD-LIM*</v>
      </c>
      <c r="F6" t="str">
        <f t="shared" si="1"/>
        <v>DMD_IND-LIM</v>
      </c>
      <c r="G6" t="str">
        <f t="shared" si="2"/>
        <v>Industry - Lime</v>
      </c>
      <c r="H6" t="s">
        <v>15</v>
      </c>
      <c r="I6" t="s">
        <v>16</v>
      </c>
      <c r="J6" t="s">
        <v>15</v>
      </c>
      <c r="K6" t="s">
        <v>16</v>
      </c>
      <c r="O6" t="s">
        <v>613</v>
      </c>
      <c r="P6" t="s">
        <v>614</v>
      </c>
    </row>
    <row r="7" spans="1:16">
      <c r="A7" t="s">
        <v>45</v>
      </c>
      <c r="B7" t="str">
        <f t="shared" si="0"/>
        <v>I-DMD-MAP*</v>
      </c>
      <c r="F7" t="str">
        <f t="shared" si="1"/>
        <v>DMD_IND-MAP</v>
      </c>
      <c r="G7" t="str">
        <f t="shared" si="2"/>
        <v>Industry - Metals</v>
      </c>
      <c r="H7" t="s">
        <v>15</v>
      </c>
      <c r="I7" t="s">
        <v>16</v>
      </c>
      <c r="J7" t="s">
        <v>15</v>
      </c>
      <c r="K7" t="s">
        <v>16</v>
      </c>
      <c r="O7" t="s">
        <v>615</v>
      </c>
      <c r="P7" t="s">
        <v>616</v>
      </c>
    </row>
    <row r="8" spans="1:16">
      <c r="A8" t="s">
        <v>45</v>
      </c>
      <c r="B8" t="str">
        <f t="shared" si="0"/>
        <v>I-DMD-OMA*</v>
      </c>
      <c r="F8" t="str">
        <f t="shared" si="1"/>
        <v>DMD_IND-OMA</v>
      </c>
      <c r="G8" t="str">
        <f t="shared" si="2"/>
        <v>Industry - Other Industry</v>
      </c>
      <c r="H8" t="s">
        <v>15</v>
      </c>
      <c r="I8" t="s">
        <v>16</v>
      </c>
      <c r="J8" t="s">
        <v>15</v>
      </c>
      <c r="K8" t="s">
        <v>16</v>
      </c>
      <c r="O8" t="s">
        <v>617</v>
      </c>
      <c r="P8" t="s">
        <v>618</v>
      </c>
    </row>
    <row r="9" spans="1:16">
      <c r="A9" t="s">
        <v>45</v>
      </c>
      <c r="B9" t="str">
        <f t="shared" si="0"/>
        <v>I-DMD-ONM*</v>
      </c>
      <c r="F9" t="str">
        <f t="shared" si="1"/>
        <v>DMD_IND-ONM</v>
      </c>
      <c r="G9" t="str">
        <f t="shared" si="2"/>
        <v>Industry - Other Minerals</v>
      </c>
      <c r="H9" t="s">
        <v>15</v>
      </c>
      <c r="I9" t="s">
        <v>16</v>
      </c>
      <c r="J9" t="s">
        <v>15</v>
      </c>
      <c r="K9" t="s">
        <v>16</v>
      </c>
      <c r="O9" t="s">
        <v>619</v>
      </c>
      <c r="P9" t="s">
        <v>620</v>
      </c>
    </row>
    <row r="10" spans="1:16">
      <c r="A10" t="s">
        <v>45</v>
      </c>
      <c r="B10" t="str">
        <f t="shared" si="0"/>
        <v>I-DMD-WAP*</v>
      </c>
      <c r="F10" t="str">
        <f t="shared" si="1"/>
        <v>DMD_IND-WAP</v>
      </c>
      <c r="G10" t="str">
        <f t="shared" si="2"/>
        <v>Industry - Wood Products</v>
      </c>
      <c r="H10" t="s">
        <v>15</v>
      </c>
      <c r="I10" t="s">
        <v>16</v>
      </c>
      <c r="J10" t="s">
        <v>15</v>
      </c>
      <c r="K10" t="s">
        <v>16</v>
      </c>
      <c r="O10" t="s">
        <v>621</v>
      </c>
      <c r="P10" t="s">
        <v>622</v>
      </c>
    </row>
    <row r="11" spans="1:16">
      <c r="A11" t="s">
        <v>45</v>
      </c>
      <c r="B11" t="str">
        <f t="shared" si="0"/>
        <v>I-DMD-ELC*</v>
      </c>
      <c r="F11" t="str">
        <f t="shared" si="1"/>
        <v>DMD_IND-ELC</v>
      </c>
      <c r="G11" t="str">
        <f t="shared" si="2"/>
        <v>Industry - Electricity</v>
      </c>
      <c r="H11" t="s">
        <v>15</v>
      </c>
      <c r="I11" t="s">
        <v>16</v>
      </c>
      <c r="J11" t="s">
        <v>15</v>
      </c>
      <c r="K11" t="s">
        <v>16</v>
      </c>
      <c r="O11" t="s">
        <v>623</v>
      </c>
      <c r="P11" t="s">
        <v>624</v>
      </c>
    </row>
    <row r="12" spans="1:16">
      <c r="A12" t="s">
        <v>45</v>
      </c>
      <c r="B12" t="str">
        <f t="shared" si="0"/>
        <v>I-DMD-OIL*</v>
      </c>
      <c r="F12" t="str">
        <f t="shared" si="1"/>
        <v>DMD_IND-OIL</v>
      </c>
      <c r="G12" t="str">
        <f t="shared" si="2"/>
        <v>Industry - Oil use</v>
      </c>
      <c r="H12" t="s">
        <v>15</v>
      </c>
      <c r="I12" t="s">
        <v>16</v>
      </c>
      <c r="J12" t="s">
        <v>15</v>
      </c>
      <c r="K12" t="s">
        <v>16</v>
      </c>
      <c r="O12" t="s">
        <v>625</v>
      </c>
      <c r="P12" t="s">
        <v>626</v>
      </c>
    </row>
    <row r="13" spans="1:16">
      <c r="A13" t="s">
        <v>190</v>
      </c>
      <c r="B13" t="str">
        <f>+LEFT(O3,1)&amp;"-"&amp;RIGHT(O3,3)&amp;"*"</f>
        <v>I-CEM*</v>
      </c>
      <c r="F13" t="str">
        <f>"TECHS_IND-"&amp;RIGHT(O3,3)</f>
        <v>TECHS_IND-CEM</v>
      </c>
      <c r="G13" t="str">
        <f>+G3</f>
        <v>Industry - Cement</v>
      </c>
      <c r="H13" t="s">
        <v>15</v>
      </c>
      <c r="I13" t="s">
        <v>16</v>
      </c>
      <c r="J13" t="s">
        <v>15</v>
      </c>
      <c r="K13" t="s">
        <v>16</v>
      </c>
    </row>
    <row r="14" spans="1:16">
      <c r="A14" t="s">
        <v>190</v>
      </c>
      <c r="B14" t="str">
        <f t="shared" ref="B14:B22" si="3">+LEFT(O4,1)&amp;"-"&amp;RIGHT(O4,3)&amp;"*"</f>
        <v>I-CAF*</v>
      </c>
      <c r="F14" t="str">
        <f t="shared" ref="F14:F20" si="4">"TECHS_IND-"&amp;RIGHT(O4,3)</f>
        <v>TECHS_IND-CAF</v>
      </c>
      <c r="G14" t="str">
        <f t="shared" ref="G14:G20" si="5">+G4</f>
        <v>Industry - Chemicals</v>
      </c>
      <c r="H14" t="s">
        <v>15</v>
      </c>
      <c r="I14" t="s">
        <v>16</v>
      </c>
      <c r="J14" t="s">
        <v>15</v>
      </c>
      <c r="K14" t="s">
        <v>16</v>
      </c>
    </row>
    <row r="15" spans="1:16">
      <c r="A15" t="s">
        <v>190</v>
      </c>
      <c r="B15" t="str">
        <f t="shared" si="3"/>
        <v>I-FAP*</v>
      </c>
      <c r="F15" t="str">
        <f t="shared" si="4"/>
        <v>TECHS_IND-FAP</v>
      </c>
      <c r="G15" t="str">
        <f t="shared" si="5"/>
        <v>Industry - Food and Drink</v>
      </c>
      <c r="H15" t="s">
        <v>15</v>
      </c>
      <c r="I15" t="s">
        <v>16</v>
      </c>
      <c r="J15" t="s">
        <v>15</v>
      </c>
      <c r="K15" t="s">
        <v>16</v>
      </c>
    </row>
    <row r="16" spans="1:16">
      <c r="A16" t="s">
        <v>190</v>
      </c>
      <c r="B16" t="str">
        <f t="shared" si="3"/>
        <v>I-LIM*</v>
      </c>
      <c r="F16" t="str">
        <f t="shared" si="4"/>
        <v>TECHS_IND-LIM</v>
      </c>
      <c r="G16" t="str">
        <f t="shared" si="5"/>
        <v>Industry - Lime</v>
      </c>
      <c r="H16" t="s">
        <v>15</v>
      </c>
      <c r="I16" t="s">
        <v>16</v>
      </c>
      <c r="J16" t="s">
        <v>15</v>
      </c>
      <c r="K16" t="s">
        <v>16</v>
      </c>
    </row>
    <row r="17" spans="1:11">
      <c r="A17" t="s">
        <v>190</v>
      </c>
      <c r="B17" t="str">
        <f t="shared" si="3"/>
        <v>I-MAP*</v>
      </c>
      <c r="F17" t="str">
        <f t="shared" si="4"/>
        <v>TECHS_IND-MAP</v>
      </c>
      <c r="G17" t="str">
        <f t="shared" si="5"/>
        <v>Industry - Metals</v>
      </c>
      <c r="H17" t="s">
        <v>15</v>
      </c>
      <c r="I17" t="s">
        <v>16</v>
      </c>
      <c r="J17" t="s">
        <v>15</v>
      </c>
      <c r="K17" t="s">
        <v>16</v>
      </c>
    </row>
    <row r="18" spans="1:11">
      <c r="A18" t="s">
        <v>190</v>
      </c>
      <c r="B18" t="str">
        <f t="shared" si="3"/>
        <v>I-OMA*</v>
      </c>
      <c r="F18" t="str">
        <f t="shared" si="4"/>
        <v>TECHS_IND-OMA</v>
      </c>
      <c r="G18" t="str">
        <f t="shared" si="5"/>
        <v>Industry - Other Industry</v>
      </c>
      <c r="H18" t="s">
        <v>15</v>
      </c>
      <c r="I18" t="s">
        <v>16</v>
      </c>
      <c r="J18" t="s">
        <v>15</v>
      </c>
      <c r="K18" t="s">
        <v>16</v>
      </c>
    </row>
    <row r="19" spans="1:11">
      <c r="A19" t="s">
        <v>190</v>
      </c>
      <c r="B19" t="str">
        <f t="shared" si="3"/>
        <v>I-ONM*</v>
      </c>
      <c r="F19" t="str">
        <f t="shared" si="4"/>
        <v>TECHS_IND-ONM</v>
      </c>
      <c r="G19" t="str">
        <f t="shared" si="5"/>
        <v>Industry - Other Minerals</v>
      </c>
      <c r="H19" t="s">
        <v>15</v>
      </c>
      <c r="I19" t="s">
        <v>16</v>
      </c>
      <c r="J19" t="s">
        <v>15</v>
      </c>
      <c r="K19" t="s">
        <v>16</v>
      </c>
    </row>
    <row r="20" spans="1:11">
      <c r="A20" t="s">
        <v>190</v>
      </c>
      <c r="B20" t="str">
        <f t="shared" si="3"/>
        <v>I-WAP*</v>
      </c>
      <c r="F20" t="str">
        <f t="shared" si="4"/>
        <v>TECHS_IND-WAP</v>
      </c>
      <c r="G20" t="str">
        <f t="shared" si="5"/>
        <v>Industry - Wood Products</v>
      </c>
      <c r="H20" t="s">
        <v>15</v>
      </c>
      <c r="I20" t="s">
        <v>16</v>
      </c>
      <c r="J20" t="s">
        <v>15</v>
      </c>
      <c r="K20" t="s">
        <v>16</v>
      </c>
    </row>
    <row r="21" spans="1:11">
      <c r="A21" t="s">
        <v>190</v>
      </c>
      <c r="B21" t="str">
        <f t="shared" si="3"/>
        <v>I-ELC*</v>
      </c>
      <c r="F21" t="str">
        <f>"TECHS_IND-"&amp;RIGHT(O11,3)</f>
        <v>TECHS_IND-ELC</v>
      </c>
      <c r="G21" t="str">
        <f>+G11</f>
        <v>Industry - Electricity</v>
      </c>
      <c r="H21" t="s">
        <v>15</v>
      </c>
      <c r="I21" t="s">
        <v>16</v>
      </c>
      <c r="J21" t="s">
        <v>15</v>
      </c>
      <c r="K21" t="s">
        <v>16</v>
      </c>
    </row>
    <row r="22" spans="1:11">
      <c r="A22" t="s">
        <v>190</v>
      </c>
      <c r="B22" t="str">
        <f t="shared" si="3"/>
        <v>I-OIL*</v>
      </c>
      <c r="F22" t="str">
        <f>"TECHS_IND-"&amp;RIGHT(O12,3)</f>
        <v>TECHS_IND-OIL</v>
      </c>
      <c r="G22" t="str">
        <f>+G12</f>
        <v>Industry - Oil use</v>
      </c>
      <c r="H22" t="s">
        <v>15</v>
      </c>
      <c r="I22" t="s">
        <v>16</v>
      </c>
      <c r="J22" t="s">
        <v>15</v>
      </c>
      <c r="K22" t="s">
        <v>16</v>
      </c>
    </row>
    <row r="23" spans="1:11">
      <c r="A23" t="s">
        <v>190</v>
      </c>
      <c r="B23" t="s">
        <v>686</v>
      </c>
      <c r="F23" t="s">
        <v>687</v>
      </c>
      <c r="G23" t="s">
        <v>688</v>
      </c>
      <c r="H23" t="s">
        <v>15</v>
      </c>
      <c r="I23" t="s">
        <v>16</v>
      </c>
      <c r="J23" t="s">
        <v>15</v>
      </c>
      <c r="K23" t="s">
        <v>16</v>
      </c>
    </row>
    <row r="24" spans="1:11">
      <c r="A24" t="s">
        <v>190</v>
      </c>
      <c r="B24" t="s">
        <v>689</v>
      </c>
      <c r="F24" t="s">
        <v>690</v>
      </c>
      <c r="G24" t="s">
        <v>691</v>
      </c>
      <c r="H24" t="s">
        <v>15</v>
      </c>
      <c r="I24" t="s">
        <v>16</v>
      </c>
      <c r="J24" t="s">
        <v>15</v>
      </c>
      <c r="K24" t="s">
        <v>16</v>
      </c>
    </row>
    <row r="25" spans="1:11">
      <c r="A25" t="s">
        <v>190</v>
      </c>
      <c r="B25" t="s">
        <v>692</v>
      </c>
      <c r="F25" t="s">
        <v>693</v>
      </c>
      <c r="G25" t="s">
        <v>694</v>
      </c>
      <c r="H25" t="s">
        <v>15</v>
      </c>
      <c r="I25" t="s">
        <v>16</v>
      </c>
      <c r="J25" t="s">
        <v>15</v>
      </c>
      <c r="K25" t="s">
        <v>16</v>
      </c>
    </row>
    <row r="26" spans="1:11">
      <c r="A26" t="s">
        <v>190</v>
      </c>
      <c r="B26" t="s">
        <v>695</v>
      </c>
      <c r="F26" t="s">
        <v>696</v>
      </c>
      <c r="G26" t="s">
        <v>697</v>
      </c>
      <c r="H26" t="s">
        <v>15</v>
      </c>
      <c r="I26" t="s">
        <v>16</v>
      </c>
      <c r="J26" t="s">
        <v>15</v>
      </c>
      <c r="K26" t="s">
        <v>16</v>
      </c>
    </row>
    <row r="27" spans="1:11">
      <c r="A27" t="s">
        <v>190</v>
      </c>
      <c r="B27" t="s">
        <v>698</v>
      </c>
      <c r="F27" t="s">
        <v>699</v>
      </c>
      <c r="G27" t="s">
        <v>700</v>
      </c>
      <c r="H27" t="s">
        <v>15</v>
      </c>
      <c r="I27" t="s">
        <v>16</v>
      </c>
      <c r="J27" t="s">
        <v>15</v>
      </c>
      <c r="K27" t="s">
        <v>16</v>
      </c>
    </row>
    <row r="28" spans="1:11">
      <c r="A28" t="s">
        <v>190</v>
      </c>
      <c r="B28" t="s">
        <v>701</v>
      </c>
      <c r="F28" t="s">
        <v>702</v>
      </c>
      <c r="G28" t="s">
        <v>703</v>
      </c>
      <c r="H28" t="s">
        <v>15</v>
      </c>
      <c r="I28" t="s">
        <v>16</v>
      </c>
      <c r="J28" t="s">
        <v>15</v>
      </c>
      <c r="K28" t="s">
        <v>16</v>
      </c>
    </row>
    <row r="29" spans="1:11">
      <c r="A29" t="s">
        <v>190</v>
      </c>
      <c r="B29" t="s">
        <v>704</v>
      </c>
      <c r="F29" t="s">
        <v>705</v>
      </c>
      <c r="G29" t="s">
        <v>706</v>
      </c>
      <c r="H29" t="s">
        <v>15</v>
      </c>
      <c r="I29" t="s">
        <v>16</v>
      </c>
      <c r="J29" t="s">
        <v>15</v>
      </c>
      <c r="K29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260F6-B56C-4203-813B-A6591E1CBE42}">
  <sheetPr codeName="Sheet4">
    <tabColor rgb="FF92D050"/>
  </sheetPr>
  <dimension ref="A1:L34"/>
  <sheetViews>
    <sheetView zoomScale="85" zoomScaleNormal="85" workbookViewId="0">
      <selection activeCell="B33" sqref="B33"/>
    </sheetView>
  </sheetViews>
  <sheetFormatPr defaultRowHeight="14.25"/>
  <cols>
    <col min="1" max="1" width="49" customWidth="1"/>
    <col min="5" max="5" width="34.1328125" bestFit="1" customWidth="1"/>
    <col min="6" max="6" width="25.59765625" bestFit="1" customWidth="1"/>
    <col min="7" max="7" width="67.59765625" bestFit="1" customWidth="1"/>
  </cols>
  <sheetData>
    <row r="1" spans="1:12">
      <c r="A1" t="s">
        <v>0</v>
      </c>
    </row>
    <row r="2" spans="1:1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>
      <c r="B3" t="s">
        <v>200</v>
      </c>
      <c r="F3" t="s">
        <v>435</v>
      </c>
      <c r="G3" t="s">
        <v>445</v>
      </c>
      <c r="H3" t="s">
        <v>15</v>
      </c>
      <c r="I3" t="s">
        <v>16</v>
      </c>
      <c r="J3" t="s">
        <v>15</v>
      </c>
      <c r="K3" t="s">
        <v>16</v>
      </c>
    </row>
    <row r="4" spans="1:12">
      <c r="B4" t="s">
        <v>199</v>
      </c>
      <c r="F4" t="s">
        <v>436</v>
      </c>
      <c r="G4" t="s">
        <v>446</v>
      </c>
      <c r="H4" t="s">
        <v>15</v>
      </c>
      <c r="I4" t="s">
        <v>16</v>
      </c>
      <c r="J4" t="s">
        <v>15</v>
      </c>
      <c r="K4" t="s">
        <v>16</v>
      </c>
    </row>
    <row r="5" spans="1:12">
      <c r="B5" t="s">
        <v>198</v>
      </c>
      <c r="F5" t="s">
        <v>437</v>
      </c>
      <c r="G5" t="s">
        <v>447</v>
      </c>
      <c r="H5" t="s">
        <v>15</v>
      </c>
      <c r="I5" t="s">
        <v>16</v>
      </c>
      <c r="J5" t="s">
        <v>15</v>
      </c>
      <c r="K5" t="s">
        <v>16</v>
      </c>
    </row>
    <row r="6" spans="1:12">
      <c r="B6" t="s">
        <v>197</v>
      </c>
      <c r="F6" t="s">
        <v>438</v>
      </c>
      <c r="G6" t="s">
        <v>448</v>
      </c>
      <c r="H6" t="s">
        <v>15</v>
      </c>
      <c r="I6" t="s">
        <v>16</v>
      </c>
      <c r="J6" t="s">
        <v>15</v>
      </c>
      <c r="K6" t="s">
        <v>16</v>
      </c>
    </row>
    <row r="7" spans="1:12">
      <c r="B7" t="s">
        <v>196</v>
      </c>
      <c r="F7" t="s">
        <v>439</v>
      </c>
      <c r="G7" t="s">
        <v>449</v>
      </c>
      <c r="H7" t="s">
        <v>15</v>
      </c>
      <c r="I7" t="s">
        <v>16</v>
      </c>
      <c r="J7" t="s">
        <v>15</v>
      </c>
      <c r="K7" t="s">
        <v>16</v>
      </c>
    </row>
    <row r="8" spans="1:12">
      <c r="B8" t="s">
        <v>195</v>
      </c>
      <c r="F8" t="s">
        <v>440</v>
      </c>
      <c r="G8" t="s">
        <v>450</v>
      </c>
      <c r="H8" t="s">
        <v>15</v>
      </c>
      <c r="I8" t="s">
        <v>16</v>
      </c>
      <c r="J8" t="s">
        <v>15</v>
      </c>
      <c r="K8" t="s">
        <v>16</v>
      </c>
    </row>
    <row r="9" spans="1:12">
      <c r="B9" t="s">
        <v>194</v>
      </c>
      <c r="F9" t="s">
        <v>441</v>
      </c>
      <c r="G9" t="s">
        <v>451</v>
      </c>
      <c r="H9" t="s">
        <v>15</v>
      </c>
      <c r="I9" t="s">
        <v>16</v>
      </c>
      <c r="J9" t="s">
        <v>15</v>
      </c>
      <c r="K9" t="s">
        <v>16</v>
      </c>
    </row>
    <row r="10" spans="1:12">
      <c r="B10" t="s">
        <v>193</v>
      </c>
      <c r="F10" t="s">
        <v>442</v>
      </c>
      <c r="G10" t="s">
        <v>452</v>
      </c>
      <c r="H10" t="s">
        <v>15</v>
      </c>
      <c r="I10" t="s">
        <v>16</v>
      </c>
      <c r="J10" t="s">
        <v>15</v>
      </c>
      <c r="K10" t="s">
        <v>16</v>
      </c>
    </row>
    <row r="11" spans="1:12">
      <c r="B11" t="s">
        <v>192</v>
      </c>
      <c r="F11" t="s">
        <v>443</v>
      </c>
      <c r="G11" t="s">
        <v>453</v>
      </c>
      <c r="H11" t="s">
        <v>15</v>
      </c>
      <c r="I11" t="s">
        <v>16</v>
      </c>
      <c r="J11" t="s">
        <v>15</v>
      </c>
      <c r="K11" t="s">
        <v>16</v>
      </c>
    </row>
    <row r="12" spans="1:12">
      <c r="A12" s="3" t="s">
        <v>286</v>
      </c>
      <c r="B12" s="3" t="s">
        <v>461</v>
      </c>
      <c r="E12" t="s">
        <v>285</v>
      </c>
      <c r="F12" t="s">
        <v>444</v>
      </c>
      <c r="G12" t="s">
        <v>454</v>
      </c>
      <c r="H12" t="s">
        <v>15</v>
      </c>
      <c r="I12" t="s">
        <v>15</v>
      </c>
      <c r="J12" t="s">
        <v>15</v>
      </c>
      <c r="K12" t="s">
        <v>16</v>
      </c>
    </row>
    <row r="13" spans="1:12">
      <c r="A13" s="3" t="str">
        <f>$F$12</f>
        <v>RSD_BLD-XXX_NRGSRV-WS</v>
      </c>
      <c r="B13" t="s">
        <v>468</v>
      </c>
      <c r="F13" t="s">
        <v>458</v>
      </c>
      <c r="G13" t="s">
        <v>455</v>
      </c>
      <c r="H13" t="s">
        <v>15</v>
      </c>
      <c r="I13" t="s">
        <v>15</v>
      </c>
      <c r="J13" t="s">
        <v>15</v>
      </c>
      <c r="K13" t="s">
        <v>16</v>
      </c>
    </row>
    <row r="14" spans="1:12">
      <c r="A14" s="3" t="str">
        <f t="shared" ref="A14:A15" si="0">$F$12</f>
        <v>RSD_BLD-XXX_NRGSRV-WS</v>
      </c>
      <c r="B14" t="s">
        <v>469</v>
      </c>
      <c r="F14" t="s">
        <v>459</v>
      </c>
      <c r="G14" t="s">
        <v>456</v>
      </c>
      <c r="H14" t="s">
        <v>15</v>
      </c>
      <c r="I14" t="s">
        <v>15</v>
      </c>
      <c r="J14" t="s">
        <v>15</v>
      </c>
      <c r="K14" t="s">
        <v>16</v>
      </c>
    </row>
    <row r="15" spans="1:12">
      <c r="A15" s="3" t="str">
        <f t="shared" si="0"/>
        <v>RSD_BLD-XXX_NRGSRV-WS</v>
      </c>
      <c r="B15" t="s">
        <v>470</v>
      </c>
      <c r="F15" t="s">
        <v>460</v>
      </c>
      <c r="G15" t="s">
        <v>457</v>
      </c>
      <c r="H15" t="s">
        <v>15</v>
      </c>
      <c r="I15" t="s">
        <v>15</v>
      </c>
      <c r="J15" t="s">
        <v>15</v>
      </c>
      <c r="K15" t="s">
        <v>16</v>
      </c>
    </row>
    <row r="16" spans="1:12">
      <c r="A16" t="s">
        <v>45</v>
      </c>
      <c r="B16" t="s">
        <v>303</v>
      </c>
      <c r="F16" t="s">
        <v>300</v>
      </c>
      <c r="G16" t="s">
        <v>297</v>
      </c>
      <c r="H16" t="s">
        <v>15</v>
      </c>
      <c r="I16" t="s">
        <v>16</v>
      </c>
      <c r="J16" t="s">
        <v>15</v>
      </c>
      <c r="K16" t="s">
        <v>16</v>
      </c>
    </row>
    <row r="17" spans="1:11">
      <c r="A17" t="s">
        <v>45</v>
      </c>
      <c r="B17" t="s">
        <v>304</v>
      </c>
      <c r="F17" t="s">
        <v>301</v>
      </c>
      <c r="G17" t="s">
        <v>298</v>
      </c>
      <c r="H17" t="s">
        <v>15</v>
      </c>
      <c r="I17" t="s">
        <v>16</v>
      </c>
      <c r="J17" t="s">
        <v>15</v>
      </c>
      <c r="K17" t="s">
        <v>16</v>
      </c>
    </row>
    <row r="18" spans="1:11">
      <c r="A18" t="s">
        <v>45</v>
      </c>
      <c r="B18" t="s">
        <v>305</v>
      </c>
      <c r="F18" t="s">
        <v>302</v>
      </c>
      <c r="G18" t="s">
        <v>299</v>
      </c>
      <c r="H18" t="s">
        <v>15</v>
      </c>
      <c r="I18" t="s">
        <v>16</v>
      </c>
      <c r="J18" t="s">
        <v>15</v>
      </c>
      <c r="K18" t="s">
        <v>16</v>
      </c>
    </row>
    <row r="19" spans="1:11">
      <c r="A19" s="3"/>
      <c r="B19" t="s">
        <v>462</v>
      </c>
      <c r="F19" t="s">
        <v>463</v>
      </c>
      <c r="G19" t="s">
        <v>464</v>
      </c>
      <c r="H19" t="s">
        <v>15</v>
      </c>
      <c r="I19" t="s">
        <v>16</v>
      </c>
      <c r="J19" t="s">
        <v>15</v>
      </c>
      <c r="K19" t="s">
        <v>16</v>
      </c>
    </row>
    <row r="20" spans="1:11">
      <c r="A20" s="3" t="str">
        <f>$F$19</f>
        <v>RSD_BLD-XXX_RTFT</v>
      </c>
      <c r="B20" t="s">
        <v>468</v>
      </c>
      <c r="F20" t="s">
        <v>471</v>
      </c>
      <c r="G20" t="s">
        <v>465</v>
      </c>
      <c r="H20" t="s">
        <v>15</v>
      </c>
      <c r="I20" t="s">
        <v>15</v>
      </c>
      <c r="J20" t="s">
        <v>15</v>
      </c>
      <c r="K20" t="s">
        <v>16</v>
      </c>
    </row>
    <row r="21" spans="1:11">
      <c r="A21" s="3" t="str">
        <f t="shared" ref="A21:A22" si="1">$F$19</f>
        <v>RSD_BLD-XXX_RTFT</v>
      </c>
      <c r="B21" t="s">
        <v>469</v>
      </c>
      <c r="F21" t="s">
        <v>472</v>
      </c>
      <c r="G21" t="s">
        <v>466</v>
      </c>
      <c r="H21" t="s">
        <v>15</v>
      </c>
      <c r="I21" t="s">
        <v>15</v>
      </c>
      <c r="J21" t="s">
        <v>15</v>
      </c>
      <c r="K21" t="s">
        <v>16</v>
      </c>
    </row>
    <row r="22" spans="1:11">
      <c r="A22" s="3" t="str">
        <f t="shared" si="1"/>
        <v>RSD_BLD-XXX_RTFT</v>
      </c>
      <c r="B22" t="s">
        <v>470</v>
      </c>
      <c r="F22" t="s">
        <v>473</v>
      </c>
      <c r="G22" t="s">
        <v>467</v>
      </c>
      <c r="H22" t="s">
        <v>15</v>
      </c>
      <c r="I22" t="s">
        <v>15</v>
      </c>
      <c r="J22" t="s">
        <v>15</v>
      </c>
      <c r="K22" t="s">
        <v>16</v>
      </c>
    </row>
    <row r="23" spans="1:11">
      <c r="B23" t="s">
        <v>665</v>
      </c>
      <c r="F23" t="s">
        <v>641</v>
      </c>
      <c r="G23" t="s">
        <v>653</v>
      </c>
      <c r="H23" t="s">
        <v>15</v>
      </c>
      <c r="I23" t="s">
        <v>16</v>
      </c>
      <c r="J23" t="s">
        <v>15</v>
      </c>
      <c r="K23" t="s">
        <v>16</v>
      </c>
    </row>
    <row r="24" spans="1:11">
      <c r="B24" t="s">
        <v>674</v>
      </c>
      <c r="F24" t="s">
        <v>642</v>
      </c>
      <c r="G24" t="s">
        <v>655</v>
      </c>
      <c r="H24" t="s">
        <v>15</v>
      </c>
      <c r="I24" t="s">
        <v>16</v>
      </c>
      <c r="J24" t="s">
        <v>15</v>
      </c>
      <c r="K24" t="s">
        <v>16</v>
      </c>
    </row>
    <row r="25" spans="1:11">
      <c r="B25" t="s">
        <v>667</v>
      </c>
      <c r="F25" t="s">
        <v>643</v>
      </c>
      <c r="G25" t="s">
        <v>656</v>
      </c>
      <c r="H25" t="s">
        <v>15</v>
      </c>
      <c r="I25" t="s">
        <v>16</v>
      </c>
      <c r="J25" t="s">
        <v>15</v>
      </c>
      <c r="K25" t="s">
        <v>16</v>
      </c>
    </row>
    <row r="26" spans="1:11">
      <c r="A26" t="str">
        <f>"-"&amp;F23&amp;",-"&amp;F24&amp;",-"&amp;F25</f>
        <v>-RSD_BLD-ATT-HP,-RSD_BLD-ATT-ELC,-RSD_BLD-ATT-GAS</v>
      </c>
      <c r="B26" t="s">
        <v>669</v>
      </c>
      <c r="F26" t="s">
        <v>644</v>
      </c>
      <c r="G26" t="s">
        <v>657</v>
      </c>
      <c r="H26" t="s">
        <v>15</v>
      </c>
      <c r="I26" t="s">
        <v>16</v>
      </c>
      <c r="J26" t="s">
        <v>15</v>
      </c>
      <c r="K26" t="s">
        <v>16</v>
      </c>
    </row>
    <row r="27" spans="1:11">
      <c r="B27" t="s">
        <v>670</v>
      </c>
      <c r="F27" t="s">
        <v>645</v>
      </c>
      <c r="G27" t="s">
        <v>658</v>
      </c>
      <c r="H27" t="s">
        <v>15</v>
      </c>
      <c r="I27" t="s">
        <v>16</v>
      </c>
      <c r="J27" t="s">
        <v>15</v>
      </c>
      <c r="K27" t="s">
        <v>16</v>
      </c>
    </row>
    <row r="28" spans="1:11">
      <c r="B28" t="s">
        <v>675</v>
      </c>
      <c r="F28" t="s">
        <v>646</v>
      </c>
      <c r="G28" t="s">
        <v>659</v>
      </c>
      <c r="H28" t="s">
        <v>15</v>
      </c>
      <c r="I28" t="s">
        <v>16</v>
      </c>
      <c r="J28" t="s">
        <v>15</v>
      </c>
      <c r="K28" t="s">
        <v>16</v>
      </c>
    </row>
    <row r="29" spans="1:11">
      <c r="B29" t="s">
        <v>671</v>
      </c>
      <c r="F29" t="s">
        <v>647</v>
      </c>
      <c r="G29" t="s">
        <v>660</v>
      </c>
      <c r="H29" t="s">
        <v>15</v>
      </c>
      <c r="I29" t="s">
        <v>16</v>
      </c>
      <c r="J29" t="s">
        <v>15</v>
      </c>
      <c r="K29" t="s">
        <v>16</v>
      </c>
    </row>
    <row r="30" spans="1:11">
      <c r="A30" t="str">
        <f>"-"&amp;F27&amp;",-"&amp;F28&amp;",-"&amp;F29</f>
        <v>-RSD_BLD-APT-HP,-RSD_BLD-APT-ELC,-RSD_BLD-APT-GAS</v>
      </c>
      <c r="B30" t="s">
        <v>672</v>
      </c>
      <c r="F30" t="s">
        <v>648</v>
      </c>
      <c r="G30" t="s">
        <v>661</v>
      </c>
      <c r="H30" t="s">
        <v>15</v>
      </c>
      <c r="I30" t="s">
        <v>16</v>
      </c>
      <c r="J30" t="s">
        <v>15</v>
      </c>
      <c r="K30" t="s">
        <v>16</v>
      </c>
    </row>
    <row r="31" spans="1:11">
      <c r="B31" t="s">
        <v>666</v>
      </c>
      <c r="F31" t="s">
        <v>649</v>
      </c>
      <c r="G31" t="s">
        <v>654</v>
      </c>
      <c r="H31" t="s">
        <v>15</v>
      </c>
      <c r="I31" t="s">
        <v>16</v>
      </c>
      <c r="J31" t="s">
        <v>15</v>
      </c>
      <c r="K31" t="s">
        <v>16</v>
      </c>
    </row>
    <row r="32" spans="1:11">
      <c r="B32" t="s">
        <v>676</v>
      </c>
      <c r="F32" t="s">
        <v>650</v>
      </c>
      <c r="G32" t="s">
        <v>662</v>
      </c>
      <c r="H32" t="s">
        <v>15</v>
      </c>
      <c r="I32" t="s">
        <v>16</v>
      </c>
      <c r="J32" t="s">
        <v>15</v>
      </c>
      <c r="K32" t="s">
        <v>16</v>
      </c>
    </row>
    <row r="33" spans="1:11">
      <c r="B33" t="s">
        <v>668</v>
      </c>
      <c r="F33" t="s">
        <v>651</v>
      </c>
      <c r="G33" t="s">
        <v>663</v>
      </c>
      <c r="H33" t="s">
        <v>15</v>
      </c>
      <c r="I33" t="s">
        <v>16</v>
      </c>
      <c r="J33" t="s">
        <v>15</v>
      </c>
      <c r="K33" t="s">
        <v>16</v>
      </c>
    </row>
    <row r="34" spans="1:11">
      <c r="A34" t="str">
        <f>"-"&amp;F31&amp;",-"&amp;F32&amp;",-"&amp;F33</f>
        <v>-RSD_BLD-DET-HP,-RSD_BLD-DET-ELC,-RSD_BLD-DET-GAS</v>
      </c>
      <c r="B34" t="s">
        <v>673</v>
      </c>
      <c r="F34" t="s">
        <v>652</v>
      </c>
      <c r="G34" t="s">
        <v>664</v>
      </c>
      <c r="H34" t="s">
        <v>15</v>
      </c>
      <c r="I34" t="s">
        <v>16</v>
      </c>
      <c r="J34" t="s">
        <v>15</v>
      </c>
      <c r="K34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F825B-1ED3-4C53-ABF7-18084792D4FD}">
  <sheetPr codeName="Sheet5">
    <tabColor rgb="FF92D050"/>
  </sheetPr>
  <dimension ref="A1:L38"/>
  <sheetViews>
    <sheetView workbookViewId="0">
      <selection activeCell="A3" sqref="A3:L3"/>
    </sheetView>
  </sheetViews>
  <sheetFormatPr defaultRowHeight="14.25"/>
  <cols>
    <col min="6" max="6" width="24.1328125" bestFit="1" customWidth="1"/>
    <col min="7" max="7" width="58.1328125" bestFit="1" customWidth="1"/>
  </cols>
  <sheetData>
    <row r="1" spans="1:12">
      <c r="A1" t="s">
        <v>0</v>
      </c>
    </row>
    <row r="2" spans="1:1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>
      <c r="A3" t="s">
        <v>45</v>
      </c>
      <c r="B3" t="s">
        <v>46</v>
      </c>
      <c r="E3" t="s">
        <v>201</v>
      </c>
      <c r="F3" t="s">
        <v>13</v>
      </c>
      <c r="G3" t="s">
        <v>14</v>
      </c>
      <c r="H3" t="s">
        <v>15</v>
      </c>
      <c r="I3" t="s">
        <v>15</v>
      </c>
      <c r="J3" t="s">
        <v>15</v>
      </c>
      <c r="K3" t="s">
        <v>16</v>
      </c>
    </row>
    <row r="4" spans="1:12">
      <c r="A4" t="s">
        <v>45</v>
      </c>
      <c r="B4" t="s">
        <v>47</v>
      </c>
      <c r="E4" t="s">
        <v>201</v>
      </c>
      <c r="F4" t="s">
        <v>17</v>
      </c>
      <c r="G4" t="s">
        <v>18</v>
      </c>
      <c r="H4" t="s">
        <v>15</v>
      </c>
      <c r="I4" t="s">
        <v>15</v>
      </c>
      <c r="J4" t="s">
        <v>15</v>
      </c>
      <c r="K4" t="s">
        <v>16</v>
      </c>
    </row>
    <row r="5" spans="1:12">
      <c r="A5" t="s">
        <v>45</v>
      </c>
      <c r="B5" t="s">
        <v>48</v>
      </c>
      <c r="E5" t="s">
        <v>201</v>
      </c>
      <c r="F5" t="s">
        <v>19</v>
      </c>
      <c r="G5" t="s">
        <v>20</v>
      </c>
      <c r="H5" t="s">
        <v>15</v>
      </c>
      <c r="I5" t="s">
        <v>15</v>
      </c>
      <c r="J5" t="s">
        <v>15</v>
      </c>
      <c r="K5" t="s">
        <v>16</v>
      </c>
    </row>
    <row r="6" spans="1:12">
      <c r="A6" t="s">
        <v>45</v>
      </c>
      <c r="B6" t="s">
        <v>202</v>
      </c>
      <c r="E6" t="s">
        <v>201</v>
      </c>
      <c r="F6" t="s">
        <v>203</v>
      </c>
      <c r="G6" t="s">
        <v>204</v>
      </c>
      <c r="H6" t="s">
        <v>15</v>
      </c>
      <c r="I6" t="s">
        <v>15</v>
      </c>
      <c r="J6" t="s">
        <v>15</v>
      </c>
      <c r="K6" t="s">
        <v>16</v>
      </c>
    </row>
    <row r="7" spans="1:12">
      <c r="A7" t="s">
        <v>45</v>
      </c>
      <c r="B7" t="s">
        <v>49</v>
      </c>
      <c r="E7" t="s">
        <v>201</v>
      </c>
      <c r="F7" t="s">
        <v>21</v>
      </c>
      <c r="G7" t="s">
        <v>22</v>
      </c>
      <c r="H7" t="s">
        <v>15</v>
      </c>
      <c r="I7" t="s">
        <v>15</v>
      </c>
      <c r="J7" t="s">
        <v>15</v>
      </c>
      <c r="K7" t="s">
        <v>16</v>
      </c>
    </row>
    <row r="8" spans="1:12">
      <c r="A8" t="s">
        <v>45</v>
      </c>
      <c r="B8" t="s">
        <v>50</v>
      </c>
      <c r="E8" t="s">
        <v>51</v>
      </c>
      <c r="F8" t="s">
        <v>23</v>
      </c>
      <c r="G8" t="s">
        <v>24</v>
      </c>
      <c r="H8" t="s">
        <v>15</v>
      </c>
      <c r="I8" t="s">
        <v>15</v>
      </c>
      <c r="J8" t="s">
        <v>15</v>
      </c>
      <c r="K8" t="s">
        <v>16</v>
      </c>
    </row>
    <row r="9" spans="1:12">
      <c r="A9" t="s">
        <v>45</v>
      </c>
      <c r="B9" t="s">
        <v>52</v>
      </c>
      <c r="E9" t="s">
        <v>51</v>
      </c>
      <c r="F9" t="s">
        <v>25</v>
      </c>
      <c r="G9" t="s">
        <v>26</v>
      </c>
      <c r="H9" t="s">
        <v>15</v>
      </c>
      <c r="I9" t="s">
        <v>15</v>
      </c>
      <c r="J9" t="s">
        <v>15</v>
      </c>
      <c r="K9" t="s">
        <v>16</v>
      </c>
    </row>
    <row r="10" spans="1:12">
      <c r="A10" t="s">
        <v>45</v>
      </c>
      <c r="B10" t="s">
        <v>53</v>
      </c>
      <c r="E10" t="s">
        <v>51</v>
      </c>
      <c r="F10" t="s">
        <v>27</v>
      </c>
      <c r="G10" t="s">
        <v>28</v>
      </c>
      <c r="H10" t="s">
        <v>15</v>
      </c>
      <c r="I10" t="s">
        <v>15</v>
      </c>
      <c r="J10" t="s">
        <v>15</v>
      </c>
      <c r="K10" t="s">
        <v>16</v>
      </c>
    </row>
    <row r="11" spans="1:12">
      <c r="A11" t="s">
        <v>45</v>
      </c>
      <c r="B11" t="s">
        <v>54</v>
      </c>
      <c r="E11" t="s">
        <v>51</v>
      </c>
      <c r="F11" t="s">
        <v>29</v>
      </c>
      <c r="G11" t="s">
        <v>30</v>
      </c>
      <c r="H11" t="s">
        <v>15</v>
      </c>
      <c r="I11" t="s">
        <v>15</v>
      </c>
      <c r="J11" t="s">
        <v>15</v>
      </c>
      <c r="K11" t="s">
        <v>16</v>
      </c>
    </row>
    <row r="12" spans="1:12">
      <c r="A12" t="s">
        <v>45</v>
      </c>
      <c r="B12" t="s">
        <v>47</v>
      </c>
      <c r="E12" t="s">
        <v>51</v>
      </c>
      <c r="F12" t="s">
        <v>31</v>
      </c>
      <c r="G12" t="s">
        <v>32</v>
      </c>
      <c r="H12" t="s">
        <v>15</v>
      </c>
      <c r="I12" t="s">
        <v>15</v>
      </c>
      <c r="J12" t="s">
        <v>15</v>
      </c>
      <c r="K12" t="s">
        <v>16</v>
      </c>
    </row>
    <row r="13" spans="1:12">
      <c r="A13" t="s">
        <v>45</v>
      </c>
      <c r="B13" t="s">
        <v>55</v>
      </c>
      <c r="E13" t="s">
        <v>51</v>
      </c>
      <c r="F13" t="s">
        <v>33</v>
      </c>
      <c r="G13" t="s">
        <v>34</v>
      </c>
      <c r="H13" t="s">
        <v>15</v>
      </c>
      <c r="I13" t="s">
        <v>15</v>
      </c>
      <c r="J13" t="s">
        <v>15</v>
      </c>
      <c r="K13" t="s">
        <v>16</v>
      </c>
    </row>
    <row r="14" spans="1:12">
      <c r="A14" t="s">
        <v>45</v>
      </c>
      <c r="B14" t="s">
        <v>56</v>
      </c>
      <c r="E14" t="s">
        <v>51</v>
      </c>
      <c r="F14" t="s">
        <v>35</v>
      </c>
      <c r="G14" t="s">
        <v>36</v>
      </c>
      <c r="H14" t="s">
        <v>15</v>
      </c>
      <c r="I14" t="s">
        <v>15</v>
      </c>
      <c r="J14" t="s">
        <v>15</v>
      </c>
      <c r="K14" t="s">
        <v>16</v>
      </c>
    </row>
    <row r="15" spans="1:12">
      <c r="A15" t="s">
        <v>45</v>
      </c>
      <c r="B15" t="s">
        <v>57</v>
      </c>
      <c r="E15" t="s">
        <v>51</v>
      </c>
      <c r="F15" t="s">
        <v>37</v>
      </c>
      <c r="G15" t="s">
        <v>38</v>
      </c>
      <c r="H15" t="s">
        <v>15</v>
      </c>
      <c r="I15" t="s">
        <v>15</v>
      </c>
      <c r="J15" t="s">
        <v>15</v>
      </c>
      <c r="K15" t="s">
        <v>16</v>
      </c>
    </row>
    <row r="16" spans="1:12">
      <c r="A16" t="s">
        <v>45</v>
      </c>
      <c r="B16" t="s">
        <v>47</v>
      </c>
      <c r="E16" t="s">
        <v>342</v>
      </c>
      <c r="F16" t="s">
        <v>343</v>
      </c>
      <c r="G16" t="s">
        <v>344</v>
      </c>
      <c r="H16" t="s">
        <v>15</v>
      </c>
      <c r="I16" t="s">
        <v>15</v>
      </c>
      <c r="J16" t="s">
        <v>15</v>
      </c>
      <c r="K16" t="s">
        <v>16</v>
      </c>
    </row>
    <row r="17" spans="1:11">
      <c r="A17" t="s">
        <v>45</v>
      </c>
      <c r="B17" t="s">
        <v>47</v>
      </c>
      <c r="E17" t="s">
        <v>345</v>
      </c>
      <c r="F17" t="s">
        <v>346</v>
      </c>
      <c r="G17" t="s">
        <v>347</v>
      </c>
      <c r="H17" t="s">
        <v>15</v>
      </c>
      <c r="I17" t="s">
        <v>15</v>
      </c>
      <c r="J17" t="s">
        <v>15</v>
      </c>
      <c r="K17" t="s">
        <v>16</v>
      </c>
    </row>
    <row r="18" spans="1:11">
      <c r="A18" t="s">
        <v>45</v>
      </c>
      <c r="B18" t="s">
        <v>47</v>
      </c>
      <c r="E18" t="s">
        <v>348</v>
      </c>
      <c r="F18" t="s">
        <v>356</v>
      </c>
      <c r="G18" t="s">
        <v>349</v>
      </c>
      <c r="H18" t="s">
        <v>15</v>
      </c>
      <c r="I18" t="s">
        <v>15</v>
      </c>
      <c r="J18" t="s">
        <v>15</v>
      </c>
      <c r="K18" t="s">
        <v>16</v>
      </c>
    </row>
    <row r="19" spans="1:11">
      <c r="A19" t="s">
        <v>45</v>
      </c>
      <c r="B19" t="s">
        <v>47</v>
      </c>
      <c r="E19" t="s">
        <v>351</v>
      </c>
      <c r="F19" t="s">
        <v>350</v>
      </c>
      <c r="G19" t="s">
        <v>352</v>
      </c>
      <c r="H19" t="s">
        <v>15</v>
      </c>
      <c r="I19" t="s">
        <v>15</v>
      </c>
      <c r="J19" t="s">
        <v>15</v>
      </c>
      <c r="K19" t="s">
        <v>16</v>
      </c>
    </row>
    <row r="20" spans="1:11">
      <c r="A20" t="s">
        <v>45</v>
      </c>
      <c r="B20" t="s">
        <v>47</v>
      </c>
      <c r="E20" t="s">
        <v>353</v>
      </c>
      <c r="F20" t="s">
        <v>354</v>
      </c>
      <c r="G20" t="s">
        <v>355</v>
      </c>
      <c r="H20" t="s">
        <v>15</v>
      </c>
      <c r="I20" t="s">
        <v>15</v>
      </c>
      <c r="J20" t="s">
        <v>15</v>
      </c>
      <c r="K20" t="s">
        <v>16</v>
      </c>
    </row>
    <row r="21" spans="1:11">
      <c r="A21" t="s">
        <v>45</v>
      </c>
      <c r="B21" t="s">
        <v>357</v>
      </c>
      <c r="E21" t="s">
        <v>51</v>
      </c>
      <c r="F21" t="s">
        <v>283</v>
      </c>
      <c r="G21" t="s">
        <v>284</v>
      </c>
      <c r="H21" t="s">
        <v>15</v>
      </c>
      <c r="I21" t="s">
        <v>15</v>
      </c>
      <c r="J21" t="s">
        <v>15</v>
      </c>
      <c r="K21" t="s">
        <v>16</v>
      </c>
    </row>
    <row r="22" spans="1:11">
      <c r="A22" t="s">
        <v>45</v>
      </c>
      <c r="B22" t="s">
        <v>358</v>
      </c>
      <c r="E22" t="s">
        <v>51</v>
      </c>
      <c r="F22" t="s">
        <v>366</v>
      </c>
      <c r="G22" t="s">
        <v>359</v>
      </c>
      <c r="H22" t="s">
        <v>15</v>
      </c>
      <c r="I22" t="s">
        <v>15</v>
      </c>
      <c r="J22" t="s">
        <v>15</v>
      </c>
      <c r="K22" t="s">
        <v>16</v>
      </c>
    </row>
    <row r="23" spans="1:11">
      <c r="A23" t="s">
        <v>45</v>
      </c>
      <c r="B23" t="s">
        <v>360</v>
      </c>
      <c r="E23" t="s">
        <v>51</v>
      </c>
      <c r="F23" t="s">
        <v>367</v>
      </c>
      <c r="G23" t="s">
        <v>361</v>
      </c>
      <c r="H23" t="s">
        <v>15</v>
      </c>
      <c r="I23" t="s">
        <v>15</v>
      </c>
      <c r="J23" t="s">
        <v>15</v>
      </c>
      <c r="K23" t="s">
        <v>16</v>
      </c>
    </row>
    <row r="24" spans="1:11">
      <c r="A24" t="s">
        <v>45</v>
      </c>
      <c r="B24" t="s">
        <v>362</v>
      </c>
      <c r="E24" t="s">
        <v>51</v>
      </c>
      <c r="F24" t="s">
        <v>368</v>
      </c>
      <c r="G24" t="s">
        <v>363</v>
      </c>
      <c r="H24" t="s">
        <v>15</v>
      </c>
      <c r="I24" t="s">
        <v>15</v>
      </c>
      <c r="J24" t="s">
        <v>15</v>
      </c>
      <c r="K24" t="s">
        <v>16</v>
      </c>
    </row>
    <row r="25" spans="1:11">
      <c r="A25" t="s">
        <v>45</v>
      </c>
      <c r="B25" t="s">
        <v>364</v>
      </c>
      <c r="E25" t="s">
        <v>51</v>
      </c>
      <c r="F25" t="s">
        <v>369</v>
      </c>
      <c r="G25" t="s">
        <v>365</v>
      </c>
      <c r="H25" t="s">
        <v>15</v>
      </c>
      <c r="I25" t="s">
        <v>15</v>
      </c>
      <c r="J25" t="s">
        <v>15</v>
      </c>
      <c r="K25" t="s">
        <v>16</v>
      </c>
    </row>
    <row r="26" spans="1:11">
      <c r="A26" t="s">
        <v>45</v>
      </c>
      <c r="B26" t="s">
        <v>370</v>
      </c>
      <c r="E26" t="s">
        <v>201</v>
      </c>
      <c r="F26" t="s">
        <v>371</v>
      </c>
      <c r="G26" t="s">
        <v>372</v>
      </c>
      <c r="H26" t="s">
        <v>15</v>
      </c>
      <c r="I26" t="s">
        <v>15</v>
      </c>
      <c r="J26" t="s">
        <v>15</v>
      </c>
      <c r="K26" t="s">
        <v>16</v>
      </c>
    </row>
    <row r="27" spans="1:11">
      <c r="A27" t="s">
        <v>45</v>
      </c>
      <c r="B27" t="s">
        <v>373</v>
      </c>
      <c r="E27" t="s">
        <v>201</v>
      </c>
      <c r="F27" t="s">
        <v>394</v>
      </c>
      <c r="G27" t="s">
        <v>376</v>
      </c>
      <c r="H27" t="s">
        <v>15</v>
      </c>
      <c r="I27" t="s">
        <v>15</v>
      </c>
      <c r="J27" t="s">
        <v>15</v>
      </c>
      <c r="K27" t="s">
        <v>16</v>
      </c>
    </row>
    <row r="28" spans="1:11">
      <c r="A28" t="s">
        <v>45</v>
      </c>
      <c r="B28" t="s">
        <v>374</v>
      </c>
      <c r="E28" t="s">
        <v>201</v>
      </c>
      <c r="F28" t="s">
        <v>395</v>
      </c>
      <c r="G28" t="s">
        <v>377</v>
      </c>
      <c r="H28" t="s">
        <v>15</v>
      </c>
      <c r="I28" t="s">
        <v>15</v>
      </c>
      <c r="J28" t="s">
        <v>15</v>
      </c>
      <c r="K28" t="s">
        <v>16</v>
      </c>
    </row>
    <row r="29" spans="1:11">
      <c r="A29" t="s">
        <v>45</v>
      </c>
      <c r="B29" t="s">
        <v>375</v>
      </c>
      <c r="E29" t="s">
        <v>201</v>
      </c>
      <c r="F29" t="s">
        <v>396</v>
      </c>
      <c r="G29" t="s">
        <v>378</v>
      </c>
      <c r="H29" t="s">
        <v>15</v>
      </c>
      <c r="I29" t="s">
        <v>15</v>
      </c>
      <c r="J29" t="s">
        <v>15</v>
      </c>
      <c r="K29" t="s">
        <v>16</v>
      </c>
    </row>
    <row r="30" spans="1:11">
      <c r="A30" t="s">
        <v>45</v>
      </c>
      <c r="B30" t="s">
        <v>379</v>
      </c>
      <c r="E30" t="s">
        <v>201</v>
      </c>
      <c r="F30" t="s">
        <v>383</v>
      </c>
      <c r="G30" t="s">
        <v>384</v>
      </c>
      <c r="H30" t="s">
        <v>15</v>
      </c>
      <c r="I30" t="s">
        <v>15</v>
      </c>
      <c r="J30" t="s">
        <v>15</v>
      </c>
      <c r="K30" t="s">
        <v>16</v>
      </c>
    </row>
    <row r="31" spans="1:11">
      <c r="A31" t="s">
        <v>45</v>
      </c>
      <c r="B31" t="s">
        <v>380</v>
      </c>
      <c r="E31" t="s">
        <v>201</v>
      </c>
      <c r="F31" t="s">
        <v>397</v>
      </c>
      <c r="G31" t="s">
        <v>385</v>
      </c>
      <c r="H31" t="s">
        <v>15</v>
      </c>
      <c r="I31" t="s">
        <v>15</v>
      </c>
      <c r="J31" t="s">
        <v>15</v>
      </c>
      <c r="K31" t="s">
        <v>16</v>
      </c>
    </row>
    <row r="32" spans="1:11">
      <c r="A32" t="s">
        <v>45</v>
      </c>
      <c r="B32" t="s">
        <v>381</v>
      </c>
      <c r="E32" t="s">
        <v>201</v>
      </c>
      <c r="F32" t="s">
        <v>398</v>
      </c>
      <c r="G32" t="s">
        <v>386</v>
      </c>
      <c r="H32" t="s">
        <v>15</v>
      </c>
      <c r="I32" t="s">
        <v>15</v>
      </c>
      <c r="J32" t="s">
        <v>15</v>
      </c>
      <c r="K32" t="s">
        <v>16</v>
      </c>
    </row>
    <row r="33" spans="1:11">
      <c r="A33" t="s">
        <v>45</v>
      </c>
      <c r="B33" t="s">
        <v>382</v>
      </c>
      <c r="E33" t="s">
        <v>201</v>
      </c>
      <c r="F33" t="s">
        <v>399</v>
      </c>
      <c r="G33" t="s">
        <v>387</v>
      </c>
      <c r="H33" t="s">
        <v>15</v>
      </c>
      <c r="I33" t="s">
        <v>15</v>
      </c>
      <c r="J33" t="s">
        <v>15</v>
      </c>
      <c r="K33" t="s">
        <v>16</v>
      </c>
    </row>
    <row r="34" spans="1:11">
      <c r="A34" t="s">
        <v>45</v>
      </c>
      <c r="B34" t="s">
        <v>388</v>
      </c>
      <c r="E34" t="s">
        <v>201</v>
      </c>
      <c r="F34" t="s">
        <v>393</v>
      </c>
      <c r="G34" t="s">
        <v>404</v>
      </c>
      <c r="H34" t="s">
        <v>15</v>
      </c>
      <c r="I34" t="s">
        <v>15</v>
      </c>
      <c r="J34" t="s">
        <v>15</v>
      </c>
      <c r="K34" t="s">
        <v>16</v>
      </c>
    </row>
    <row r="35" spans="1:11">
      <c r="A35" t="s">
        <v>45</v>
      </c>
      <c r="B35" t="s">
        <v>389</v>
      </c>
      <c r="E35" t="s">
        <v>201</v>
      </c>
      <c r="F35" t="s">
        <v>400</v>
      </c>
      <c r="G35" t="s">
        <v>405</v>
      </c>
      <c r="H35" t="s">
        <v>15</v>
      </c>
      <c r="I35" t="s">
        <v>15</v>
      </c>
      <c r="J35" t="s">
        <v>15</v>
      </c>
      <c r="K35" t="s">
        <v>16</v>
      </c>
    </row>
    <row r="36" spans="1:11">
      <c r="A36" t="s">
        <v>45</v>
      </c>
      <c r="B36" t="s">
        <v>390</v>
      </c>
      <c r="E36" t="s">
        <v>201</v>
      </c>
      <c r="F36" t="s">
        <v>401</v>
      </c>
      <c r="G36" t="s">
        <v>406</v>
      </c>
      <c r="H36" t="s">
        <v>15</v>
      </c>
      <c r="I36" t="s">
        <v>15</v>
      </c>
      <c r="J36" t="s">
        <v>15</v>
      </c>
      <c r="K36" t="s">
        <v>16</v>
      </c>
    </row>
    <row r="37" spans="1:11">
      <c r="A37" t="s">
        <v>45</v>
      </c>
      <c r="B37" t="s">
        <v>391</v>
      </c>
      <c r="E37" t="s">
        <v>201</v>
      </c>
      <c r="F37" t="s">
        <v>402</v>
      </c>
      <c r="G37" t="s">
        <v>407</v>
      </c>
      <c r="H37" t="s">
        <v>15</v>
      </c>
      <c r="I37" t="s">
        <v>15</v>
      </c>
      <c r="J37" t="s">
        <v>15</v>
      </c>
      <c r="K37" t="s">
        <v>16</v>
      </c>
    </row>
    <row r="38" spans="1:11">
      <c r="A38" t="s">
        <v>45</v>
      </c>
      <c r="B38" t="s">
        <v>392</v>
      </c>
      <c r="E38" t="s">
        <v>201</v>
      </c>
      <c r="F38" t="s">
        <v>403</v>
      </c>
      <c r="G38" t="s">
        <v>408</v>
      </c>
      <c r="H38" t="s">
        <v>15</v>
      </c>
      <c r="I38" t="s">
        <v>15</v>
      </c>
      <c r="J38" t="s">
        <v>15</v>
      </c>
      <c r="K38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C4F5-4EDB-49DB-9D6D-333A351F1738}">
  <sheetPr codeName="Sheet6">
    <tabColor rgb="FF92D050"/>
  </sheetPr>
  <dimension ref="A1:L22"/>
  <sheetViews>
    <sheetView workbookViewId="0">
      <selection activeCell="I25" sqref="I25"/>
    </sheetView>
  </sheetViews>
  <sheetFormatPr defaultRowHeight="14.25"/>
  <cols>
    <col min="6" max="6" width="19.3984375" bestFit="1" customWidth="1"/>
    <col min="7" max="7" width="53.265625" bestFit="1" customWidth="1"/>
  </cols>
  <sheetData>
    <row r="1" spans="1:12">
      <c r="A1" t="s">
        <v>0</v>
      </c>
    </row>
    <row r="2" spans="1:1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>
      <c r="B3" t="s">
        <v>318</v>
      </c>
      <c r="F3" t="s">
        <v>263</v>
      </c>
      <c r="G3" t="s">
        <v>311</v>
      </c>
      <c r="H3" t="s">
        <v>15</v>
      </c>
      <c r="I3" t="s">
        <v>16</v>
      </c>
    </row>
    <row r="4" spans="1:12">
      <c r="B4" t="s">
        <v>319</v>
      </c>
      <c r="F4" t="s">
        <v>312</v>
      </c>
      <c r="G4" t="s">
        <v>313</v>
      </c>
      <c r="H4" t="s">
        <v>15</v>
      </c>
      <c r="I4" t="s">
        <v>16</v>
      </c>
    </row>
    <row r="5" spans="1:12">
      <c r="B5" t="s">
        <v>308</v>
      </c>
      <c r="F5" t="s">
        <v>310</v>
      </c>
      <c r="G5" t="s">
        <v>309</v>
      </c>
      <c r="H5" t="s">
        <v>15</v>
      </c>
      <c r="I5" t="s">
        <v>16</v>
      </c>
    </row>
    <row r="6" spans="1:12">
      <c r="B6" t="s">
        <v>320</v>
      </c>
      <c r="F6" t="s">
        <v>264</v>
      </c>
      <c r="G6" t="s">
        <v>315</v>
      </c>
      <c r="H6" t="s">
        <v>15</v>
      </c>
      <c r="I6" t="s">
        <v>16</v>
      </c>
      <c r="J6" t="s">
        <v>15</v>
      </c>
      <c r="K6" t="s">
        <v>16</v>
      </c>
    </row>
    <row r="7" spans="1:12">
      <c r="B7" t="s">
        <v>321</v>
      </c>
      <c r="F7" t="s">
        <v>316</v>
      </c>
      <c r="G7" t="s">
        <v>317</v>
      </c>
      <c r="H7" t="s">
        <v>15</v>
      </c>
      <c r="I7" t="s">
        <v>16</v>
      </c>
    </row>
    <row r="8" spans="1:12">
      <c r="B8" t="s">
        <v>323</v>
      </c>
      <c r="F8" t="s">
        <v>314</v>
      </c>
      <c r="G8" t="s">
        <v>324</v>
      </c>
      <c r="H8" t="s">
        <v>15</v>
      </c>
      <c r="I8" t="s">
        <v>16</v>
      </c>
    </row>
    <row r="9" spans="1:12">
      <c r="B9" t="s">
        <v>322</v>
      </c>
      <c r="F9" t="s">
        <v>326</v>
      </c>
      <c r="G9" t="s">
        <v>325</v>
      </c>
      <c r="H9" t="s">
        <v>15</v>
      </c>
      <c r="I9" t="s">
        <v>16</v>
      </c>
    </row>
    <row r="10" spans="1:12">
      <c r="B10" t="s">
        <v>62</v>
      </c>
      <c r="F10" t="s">
        <v>265</v>
      </c>
      <c r="G10" t="s">
        <v>282</v>
      </c>
      <c r="H10" t="s">
        <v>15</v>
      </c>
      <c r="I10" t="s">
        <v>16</v>
      </c>
    </row>
    <row r="11" spans="1:12">
      <c r="B11" t="s">
        <v>63</v>
      </c>
      <c r="F11" t="s">
        <v>266</v>
      </c>
      <c r="G11" t="s">
        <v>281</v>
      </c>
      <c r="H11" t="s">
        <v>15</v>
      </c>
      <c r="I11" t="s">
        <v>16</v>
      </c>
    </row>
    <row r="12" spans="1:12">
      <c r="B12" t="s">
        <v>64</v>
      </c>
      <c r="F12" t="s">
        <v>267</v>
      </c>
      <c r="G12" t="s">
        <v>280</v>
      </c>
      <c r="H12" t="s">
        <v>15</v>
      </c>
      <c r="I12" t="s">
        <v>16</v>
      </c>
      <c r="J12" t="s">
        <v>15</v>
      </c>
      <c r="K12" t="s">
        <v>16</v>
      </c>
    </row>
    <row r="13" spans="1:12">
      <c r="B13" t="s">
        <v>307</v>
      </c>
      <c r="F13" t="s">
        <v>268</v>
      </c>
      <c r="G13" t="s">
        <v>279</v>
      </c>
      <c r="H13" t="s">
        <v>15</v>
      </c>
      <c r="I13" t="s">
        <v>16</v>
      </c>
    </row>
    <row r="14" spans="1:12">
      <c r="B14" t="s">
        <v>65</v>
      </c>
      <c r="F14" t="s">
        <v>269</v>
      </c>
      <c r="G14" t="s">
        <v>278</v>
      </c>
      <c r="H14" t="s">
        <v>15</v>
      </c>
      <c r="I14" t="s">
        <v>16</v>
      </c>
    </row>
    <row r="15" spans="1:12">
      <c r="B15" t="s">
        <v>66</v>
      </c>
      <c r="F15" t="s">
        <v>270</v>
      </c>
      <c r="G15" t="s">
        <v>277</v>
      </c>
      <c r="H15" t="s">
        <v>15</v>
      </c>
      <c r="I15" t="s">
        <v>16</v>
      </c>
    </row>
    <row r="16" spans="1:12">
      <c r="B16" t="s">
        <v>67</v>
      </c>
      <c r="F16" t="s">
        <v>271</v>
      </c>
      <c r="G16" t="s">
        <v>274</v>
      </c>
      <c r="H16" t="s">
        <v>15</v>
      </c>
      <c r="I16" t="s">
        <v>16</v>
      </c>
    </row>
    <row r="17" spans="2:9">
      <c r="B17" t="s">
        <v>68</v>
      </c>
      <c r="F17" t="s">
        <v>272</v>
      </c>
      <c r="G17" t="s">
        <v>276</v>
      </c>
      <c r="H17" t="s">
        <v>15</v>
      </c>
      <c r="I17" t="s">
        <v>16</v>
      </c>
    </row>
    <row r="18" spans="2:9">
      <c r="B18" t="s">
        <v>69</v>
      </c>
      <c r="F18" t="s">
        <v>273</v>
      </c>
      <c r="G18" t="s">
        <v>275</v>
      </c>
      <c r="H18" t="s">
        <v>15</v>
      </c>
      <c r="I18" t="s">
        <v>16</v>
      </c>
    </row>
    <row r="19" spans="2:9">
      <c r="B19" t="s">
        <v>327</v>
      </c>
      <c r="F19" t="s">
        <v>328</v>
      </c>
      <c r="G19" t="s">
        <v>329</v>
      </c>
      <c r="H19" t="s">
        <v>15</v>
      </c>
      <c r="I19" t="s">
        <v>16</v>
      </c>
    </row>
    <row r="20" spans="2:9">
      <c r="B20" t="s">
        <v>677</v>
      </c>
      <c r="F20" t="s">
        <v>679</v>
      </c>
      <c r="G20" t="s">
        <v>681</v>
      </c>
      <c r="H20" t="s">
        <v>15</v>
      </c>
      <c r="I20" t="s">
        <v>16</v>
      </c>
    </row>
    <row r="21" spans="2:9">
      <c r="B21" t="s">
        <v>678</v>
      </c>
      <c r="F21" t="s">
        <v>680</v>
      </c>
      <c r="G21" t="s">
        <v>682</v>
      </c>
      <c r="H21" t="s">
        <v>15</v>
      </c>
      <c r="I21" t="s">
        <v>16</v>
      </c>
    </row>
    <row r="22" spans="2:9">
      <c r="B22" t="s">
        <v>683</v>
      </c>
      <c r="F22" t="s">
        <v>684</v>
      </c>
      <c r="G22" t="s">
        <v>685</v>
      </c>
      <c r="H22" t="s">
        <v>15</v>
      </c>
      <c r="I22" t="s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73284-DF56-4361-8316-EB8159A9346F}">
  <sheetPr codeName="Sheet7">
    <tabColor rgb="FF92D050"/>
  </sheetPr>
  <dimension ref="A1:L3"/>
  <sheetViews>
    <sheetView workbookViewId="0">
      <selection activeCell="G12" sqref="G12"/>
    </sheetView>
  </sheetViews>
  <sheetFormatPr defaultRowHeight="14.25"/>
  <cols>
    <col min="6" max="6" width="19.3984375" bestFit="1" customWidth="1"/>
    <col min="7" max="7" width="53.265625" bestFit="1" customWidth="1"/>
  </cols>
  <sheetData>
    <row r="1" spans="1:12">
      <c r="A1" t="s">
        <v>0</v>
      </c>
    </row>
    <row r="2" spans="1:1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>
      <c r="A3" t="s">
        <v>190</v>
      </c>
      <c r="B3" t="s">
        <v>412</v>
      </c>
      <c r="F3" t="s">
        <v>413</v>
      </c>
      <c r="G3" t="s">
        <v>414</v>
      </c>
      <c r="H3" t="s">
        <v>15</v>
      </c>
      <c r="I3" t="s">
        <v>16</v>
      </c>
      <c r="J3" t="s">
        <v>15</v>
      </c>
      <c r="K3" t="s">
        <v>16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0B4BC-8607-4508-A698-E46A5EB98EA7}">
  <sheetPr codeName="Sheet8">
    <tabColor rgb="FF92D050"/>
  </sheetPr>
  <dimension ref="A1:L3"/>
  <sheetViews>
    <sheetView workbookViewId="0">
      <selection activeCell="H3" sqref="H3:K3"/>
    </sheetView>
  </sheetViews>
  <sheetFormatPr defaultRowHeight="14.25"/>
  <cols>
    <col min="6" max="6" width="19.3984375" bestFit="1" customWidth="1"/>
    <col min="7" max="7" width="53.265625" bestFit="1" customWidth="1"/>
  </cols>
  <sheetData>
    <row r="1" spans="1:12">
      <c r="A1" t="s">
        <v>0</v>
      </c>
    </row>
    <row r="2" spans="1:1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>
      <c r="B3" t="s">
        <v>409</v>
      </c>
      <c r="F3" t="s">
        <v>410</v>
      </c>
      <c r="G3" t="s">
        <v>411</v>
      </c>
      <c r="H3" t="s">
        <v>15</v>
      </c>
      <c r="I3" t="s">
        <v>16</v>
      </c>
      <c r="J3" t="s">
        <v>15</v>
      </c>
      <c r="K3" t="s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EBB5-8F5D-4492-A870-22D6545A1D24}">
  <sheetPr codeName="Sheet9">
    <tabColor rgb="FF92D050"/>
  </sheetPr>
  <dimension ref="A1:L19"/>
  <sheetViews>
    <sheetView workbookViewId="0">
      <selection activeCell="H31" sqref="H31"/>
    </sheetView>
  </sheetViews>
  <sheetFormatPr defaultRowHeight="14.25"/>
  <cols>
    <col min="4" max="4" width="10.265625" bestFit="1" customWidth="1"/>
    <col min="5" max="5" width="29.1328125" bestFit="1" customWidth="1"/>
    <col min="6" max="6" width="20.86328125" bestFit="1" customWidth="1"/>
    <col min="7" max="7" width="57.86328125" bestFit="1" customWidth="1"/>
  </cols>
  <sheetData>
    <row r="1" spans="1:12">
      <c r="A1" t="s">
        <v>0</v>
      </c>
    </row>
    <row r="2" spans="1:1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>
      <c r="A3" s="3"/>
      <c r="B3" t="s">
        <v>504</v>
      </c>
      <c r="E3" t="s">
        <v>536</v>
      </c>
      <c r="F3" t="s">
        <v>518</v>
      </c>
      <c r="G3" t="s">
        <v>546</v>
      </c>
      <c r="H3" t="s">
        <v>15</v>
      </c>
      <c r="I3" t="s">
        <v>16</v>
      </c>
      <c r="J3" t="s">
        <v>15</v>
      </c>
      <c r="K3" t="s">
        <v>16</v>
      </c>
    </row>
    <row r="4" spans="1:12">
      <c r="B4" t="s">
        <v>504</v>
      </c>
      <c r="E4" t="s">
        <v>537</v>
      </c>
      <c r="F4" t="s">
        <v>535</v>
      </c>
      <c r="G4" t="s">
        <v>547</v>
      </c>
      <c r="H4" t="s">
        <v>15</v>
      </c>
      <c r="I4" t="s">
        <v>16</v>
      </c>
      <c r="J4" t="s">
        <v>15</v>
      </c>
      <c r="K4" t="s">
        <v>16</v>
      </c>
    </row>
    <row r="5" spans="1:12">
      <c r="B5" t="s">
        <v>504</v>
      </c>
      <c r="E5" t="s">
        <v>522</v>
      </c>
      <c r="F5" t="s">
        <v>519</v>
      </c>
      <c r="G5" t="s">
        <v>544</v>
      </c>
      <c r="H5" t="s">
        <v>15</v>
      </c>
      <c r="I5" t="s">
        <v>16</v>
      </c>
      <c r="J5" t="s">
        <v>15</v>
      </c>
      <c r="K5" t="s">
        <v>16</v>
      </c>
    </row>
    <row r="6" spans="1:12">
      <c r="B6" t="s">
        <v>504</v>
      </c>
      <c r="E6" t="s">
        <v>521</v>
      </c>
      <c r="F6" t="s">
        <v>520</v>
      </c>
      <c r="G6" t="s">
        <v>545</v>
      </c>
      <c r="H6" t="s">
        <v>15</v>
      </c>
      <c r="I6" t="s">
        <v>16</v>
      </c>
      <c r="J6" t="s">
        <v>15</v>
      </c>
      <c r="K6" t="s">
        <v>16</v>
      </c>
    </row>
    <row r="7" spans="1:12">
      <c r="B7" t="s">
        <v>504</v>
      </c>
      <c r="E7" t="s">
        <v>523</v>
      </c>
      <c r="F7" t="s">
        <v>525</v>
      </c>
      <c r="G7" t="s">
        <v>540</v>
      </c>
      <c r="H7" t="s">
        <v>15</v>
      </c>
      <c r="I7" t="s">
        <v>16</v>
      </c>
      <c r="J7" t="s">
        <v>15</v>
      </c>
      <c r="K7" t="s">
        <v>16</v>
      </c>
    </row>
    <row r="8" spans="1:12">
      <c r="B8" t="s">
        <v>504</v>
      </c>
      <c r="E8" t="s">
        <v>524</v>
      </c>
      <c r="F8" t="s">
        <v>526</v>
      </c>
      <c r="G8" t="s">
        <v>541</v>
      </c>
      <c r="H8" t="s">
        <v>15</v>
      </c>
      <c r="I8" t="s">
        <v>16</v>
      </c>
      <c r="J8" t="s">
        <v>15</v>
      </c>
      <c r="K8" t="s">
        <v>16</v>
      </c>
    </row>
    <row r="9" spans="1:12">
      <c r="B9" t="s">
        <v>504</v>
      </c>
      <c r="E9" t="s">
        <v>527</v>
      </c>
      <c r="F9" t="s">
        <v>529</v>
      </c>
      <c r="G9" t="s">
        <v>542</v>
      </c>
      <c r="H9" t="s">
        <v>15</v>
      </c>
      <c r="I9" t="s">
        <v>16</v>
      </c>
      <c r="J9" t="s">
        <v>15</v>
      </c>
      <c r="K9" t="s">
        <v>16</v>
      </c>
    </row>
    <row r="10" spans="1:12">
      <c r="B10" t="s">
        <v>504</v>
      </c>
      <c r="E10" t="s">
        <v>528</v>
      </c>
      <c r="F10" t="s">
        <v>530</v>
      </c>
      <c r="G10" t="s">
        <v>543</v>
      </c>
      <c r="H10" t="s">
        <v>15</v>
      </c>
      <c r="I10" t="s">
        <v>16</v>
      </c>
      <c r="J10" t="s">
        <v>15</v>
      </c>
      <c r="K10" t="s">
        <v>16</v>
      </c>
    </row>
    <row r="11" spans="1:12">
      <c r="B11" t="s">
        <v>504</v>
      </c>
      <c r="E11" t="s">
        <v>531</v>
      </c>
      <c r="F11" t="s">
        <v>532</v>
      </c>
      <c r="G11" t="s">
        <v>538</v>
      </c>
      <c r="H11" t="s">
        <v>15</v>
      </c>
      <c r="I11" t="s">
        <v>16</v>
      </c>
      <c r="J11" t="s">
        <v>15</v>
      </c>
      <c r="K11" t="s">
        <v>16</v>
      </c>
    </row>
    <row r="12" spans="1:12">
      <c r="B12" t="s">
        <v>504</v>
      </c>
      <c r="E12" t="s">
        <v>533</v>
      </c>
      <c r="F12" t="s">
        <v>534</v>
      </c>
      <c r="G12" t="s">
        <v>539</v>
      </c>
      <c r="H12" t="s">
        <v>15</v>
      </c>
      <c r="I12" t="s">
        <v>16</v>
      </c>
      <c r="J12" t="s">
        <v>15</v>
      </c>
      <c r="K12" t="s">
        <v>16</v>
      </c>
    </row>
    <row r="13" spans="1:12">
      <c r="A13" t="s">
        <v>45</v>
      </c>
      <c r="B13" t="s">
        <v>504</v>
      </c>
      <c r="E13" t="s">
        <v>548</v>
      </c>
      <c r="F13" t="s">
        <v>551</v>
      </c>
      <c r="G13" t="s">
        <v>549</v>
      </c>
      <c r="H13" t="s">
        <v>15</v>
      </c>
      <c r="I13" t="s">
        <v>16</v>
      </c>
      <c r="J13" t="s">
        <v>15</v>
      </c>
      <c r="K13" t="s">
        <v>16</v>
      </c>
    </row>
    <row r="14" spans="1:12">
      <c r="A14" t="s">
        <v>45</v>
      </c>
      <c r="B14" t="s">
        <v>504</v>
      </c>
      <c r="E14" t="s">
        <v>550</v>
      </c>
      <c r="F14" t="s">
        <v>552</v>
      </c>
      <c r="G14" t="s">
        <v>553</v>
      </c>
      <c r="H14" t="s">
        <v>15</v>
      </c>
      <c r="I14" t="s">
        <v>16</v>
      </c>
      <c r="J14" t="s">
        <v>15</v>
      </c>
      <c r="K14" t="s">
        <v>16</v>
      </c>
    </row>
    <row r="15" spans="1:12">
      <c r="A15" t="s">
        <v>45</v>
      </c>
      <c r="B15" t="s">
        <v>504</v>
      </c>
      <c r="E15" t="s">
        <v>554</v>
      </c>
      <c r="F15" t="s">
        <v>556</v>
      </c>
      <c r="G15" t="s">
        <v>559</v>
      </c>
      <c r="H15" t="s">
        <v>15</v>
      </c>
      <c r="I15" t="s">
        <v>16</v>
      </c>
      <c r="J15" t="s">
        <v>15</v>
      </c>
      <c r="K15" t="s">
        <v>16</v>
      </c>
    </row>
    <row r="16" spans="1:12">
      <c r="A16" t="s">
        <v>45</v>
      </c>
      <c r="B16" t="s">
        <v>504</v>
      </c>
      <c r="E16" t="s">
        <v>555</v>
      </c>
      <c r="F16" t="s">
        <v>557</v>
      </c>
      <c r="G16" t="s">
        <v>558</v>
      </c>
      <c r="H16" t="s">
        <v>15</v>
      </c>
      <c r="I16" t="s">
        <v>16</v>
      </c>
      <c r="J16" t="s">
        <v>15</v>
      </c>
      <c r="K16" t="s">
        <v>16</v>
      </c>
    </row>
    <row r="17" spans="2:11">
      <c r="B17" t="s">
        <v>504</v>
      </c>
      <c r="D17" t="s">
        <v>561</v>
      </c>
      <c r="F17" t="s">
        <v>560</v>
      </c>
      <c r="G17" t="s">
        <v>562</v>
      </c>
      <c r="H17" t="s">
        <v>15</v>
      </c>
      <c r="I17" t="s">
        <v>16</v>
      </c>
      <c r="J17" t="s">
        <v>15</v>
      </c>
      <c r="K17" t="s">
        <v>16</v>
      </c>
    </row>
    <row r="18" spans="2:11">
      <c r="B18" t="s">
        <v>564</v>
      </c>
      <c r="D18" t="s">
        <v>563</v>
      </c>
      <c r="F18" t="s">
        <v>565</v>
      </c>
      <c r="G18" t="s">
        <v>568</v>
      </c>
      <c r="H18" t="s">
        <v>15</v>
      </c>
      <c r="I18" t="s">
        <v>16</v>
      </c>
      <c r="J18" t="s">
        <v>15</v>
      </c>
      <c r="K18" t="s">
        <v>16</v>
      </c>
    </row>
    <row r="19" spans="2:11">
      <c r="B19" t="s">
        <v>566</v>
      </c>
      <c r="D19" t="s">
        <v>563</v>
      </c>
      <c r="F19" t="s">
        <v>567</v>
      </c>
      <c r="G19" t="s">
        <v>569</v>
      </c>
      <c r="H19" t="s">
        <v>15</v>
      </c>
      <c r="I19" t="s">
        <v>16</v>
      </c>
      <c r="J19" t="s">
        <v>15</v>
      </c>
      <c r="K1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Sets-Comm</vt:lpstr>
      <vt:lpstr>Sets-Proc</vt:lpstr>
      <vt:lpstr>IND_Sets-Proc</vt:lpstr>
      <vt:lpstr>RSD_Sets-Proc</vt:lpstr>
      <vt:lpstr>TRA_Sets-Proc</vt:lpstr>
      <vt:lpstr>PWR_Sets-Proc</vt:lpstr>
      <vt:lpstr>AGR_Sets-Proc</vt:lpstr>
      <vt:lpstr>SUP_Sets-Proc</vt:lpstr>
      <vt:lpstr>SRV_Sets-Proc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Olex</dc:creator>
  <cp:keywords/>
  <dc:description/>
  <cp:lastModifiedBy>Amit Kanudia</cp:lastModifiedBy>
  <dcterms:created xsi:type="dcterms:W3CDTF">2020-12-08T01:27:03Z</dcterms:created>
  <dcterms:modified xsi:type="dcterms:W3CDTF">2026-09-21T03:44:14Z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403722643852233</vt:r8>
  </property>
</Properties>
</file>